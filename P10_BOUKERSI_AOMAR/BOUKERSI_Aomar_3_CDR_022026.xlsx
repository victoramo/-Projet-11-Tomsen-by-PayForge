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ouke\Desktop\concevoir stratégie de test\stratégie test Corrigé\strategie final\"/>
    </mc:Choice>
  </mc:AlternateContent>
  <xr:revisionPtr revIDLastSave="0" documentId="13_ncr:1_{6B7D9C9E-3519-4660-8B3E-9F0940999930}" xr6:coauthVersionLast="47" xr6:coauthVersionMax="47" xr10:uidLastSave="{00000000-0000-0000-0000-000000000000}"/>
  <bookViews>
    <workbookView xWindow="-98" yWindow="-98" windowWidth="24196" windowHeight="14476" firstSheet="2" activeTab="2" xr2:uid="{00000000-000D-0000-FFFF-FFFF00000000}"/>
  </bookViews>
  <sheets>
    <sheet name="Dashboard" sheetId="1" r:id="rId1"/>
    <sheet name="Revue exigences QA" sheetId="2" r:id="rId2"/>
    <sheet name="Plan de test par Sprint" sheetId="3" r:id="rId3"/>
    <sheet name="Sprint 1" sheetId="4" r:id="rId4"/>
    <sheet name="Sprint 2" sheetId="5" r:id="rId5"/>
    <sheet name="Sprint 3" sheetId="6" r:id="rId6"/>
    <sheet name="Sprint 4" sheetId="7" r:id="rId7"/>
    <sheet name="Sprint 5" sheetId="8" r:id="rId8"/>
    <sheet name="Visualisations" sheetId="9" r:id="rId9"/>
  </sheets>
  <definedNames>
    <definedName name="_xlnm._FilterDatabase" localSheetId="2" hidden="1">'Plan de test par Sprint'!$A$1:$G$49</definedName>
    <definedName name="_xlnm._FilterDatabase" localSheetId="1" hidden="1">'Revue exigences QA'!$A$1:$H$43</definedName>
    <definedName name="_xlnm._FilterDatabase" localSheetId="3" hidden="1">'Sprint 1'!$A$1:$K$21</definedName>
    <definedName name="_xlnm._FilterDatabase" localSheetId="4" hidden="1">'Sprint 2'!$A$1:$K$17</definedName>
    <definedName name="_xlnm._FilterDatabase" localSheetId="5" hidden="1">'Sprint 3'!$A$1:$K$5</definedName>
    <definedName name="_xlnm._FilterDatabase" localSheetId="6" hidden="1">'Sprint 4'!$A$1:$K$6</definedName>
    <definedName name="_xlnm._FilterDatabase" localSheetId="7" hidden="1">'Sprint 5'!$A$1:$K$4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9" l="1"/>
  <c r="F11" i="9"/>
  <c r="E11" i="9"/>
  <c r="D11" i="9"/>
  <c r="C11" i="9"/>
  <c r="B11" i="9"/>
  <c r="E8" i="9"/>
  <c r="B8" i="9"/>
  <c r="E7" i="9"/>
  <c r="B7" i="9"/>
  <c r="E6" i="9"/>
  <c r="B6" i="9"/>
  <c r="E5" i="9"/>
  <c r="B5" i="9"/>
  <c r="E4" i="9"/>
  <c r="B4" i="9"/>
  <c r="E19" i="1"/>
  <c r="E18" i="1"/>
  <c r="B18" i="1"/>
  <c r="E17" i="1"/>
  <c r="B17" i="1"/>
  <c r="E16" i="1"/>
  <c r="B16" i="1"/>
  <c r="E15" i="1"/>
  <c r="B15" i="1"/>
  <c r="E14" i="1"/>
  <c r="B14" i="1"/>
  <c r="E9" i="1"/>
  <c r="B9" i="1"/>
  <c r="E8" i="1"/>
  <c r="B8" i="1"/>
  <c r="E7" i="1"/>
  <c r="B7" i="1"/>
  <c r="E6" i="1"/>
  <c r="B6" i="1"/>
  <c r="E5" i="1"/>
  <c r="B5" i="1"/>
  <c r="B4" i="1"/>
</calcChain>
</file>

<file path=xl/sharedStrings.xml><?xml version="1.0" encoding="utf-8"?>
<sst xmlns="http://schemas.openxmlformats.org/spreadsheetml/2006/main" count="1328" uniqueCount="592">
  <si>
    <t>Dashboard QA — Plan de test TOMSEN</t>
  </si>
  <si>
    <t>Indicateur</t>
  </si>
  <si>
    <t>Valeur</t>
  </si>
  <si>
    <t>Cas de test par Sprint</t>
  </si>
  <si>
    <t>Exigences (revue)</t>
  </si>
  <si>
    <t>Sprint</t>
  </si>
  <si>
    <t>Nb</t>
  </si>
  <si>
    <t>Cas de test (total)</t>
  </si>
  <si>
    <t>Sprint 1</t>
  </si>
  <si>
    <t>Cas de test — Critiques</t>
  </si>
  <si>
    <t>Sprint 2</t>
  </si>
  <si>
    <t>Cas de test — Élevés</t>
  </si>
  <si>
    <t>Sprint 3</t>
  </si>
  <si>
    <t>Cas de test — Moyens</t>
  </si>
  <si>
    <t>Sprint 4</t>
  </si>
  <si>
    <t>Cas de test — Exécutés (Passé)</t>
  </si>
  <si>
    <t>Sprint 5</t>
  </si>
  <si>
    <t>Cas de test par criticité</t>
  </si>
  <si>
    <t>Cas de test par statut</t>
  </si>
  <si>
    <t>Criticité</t>
  </si>
  <si>
    <t>Statut</t>
  </si>
  <si>
    <t>Critique</t>
  </si>
  <si>
    <t>Non exécuté</t>
  </si>
  <si>
    <t>Élevée</t>
  </si>
  <si>
    <t>En cours</t>
  </si>
  <si>
    <t>Moyenne</t>
  </si>
  <si>
    <t>Passé</t>
  </si>
  <si>
    <t>Faible</t>
  </si>
  <si>
    <t>Échoué</t>
  </si>
  <si>
    <t>Informative</t>
  </si>
  <si>
    <t>Bloqué</t>
  </si>
  <si>
    <t>NA</t>
  </si>
  <si>
    <t>TOM</t>
  </si>
  <si>
    <t>Domaine</t>
  </si>
  <si>
    <t>Ambiguïté</t>
  </si>
  <si>
    <t>Question</t>
  </si>
  <si>
    <t>Impact</t>
  </si>
  <si>
    <t>Owner</t>
  </si>
  <si>
    <t>TOM01-AUT-01</t>
  </si>
  <si>
    <t>Authentification</t>
  </si>
  <si>
    <t>Gestion multi-profils / comptes joints non mentionnée.</t>
  </si>
  <si>
    <t>V1 gère-t-elle 1 seul profil par utilisateur ou plusieurs identités (ex : compte joint, mandataire) ?</t>
  </si>
  <si>
    <t>Risque de rework données/IHM</t>
  </si>
  <si>
    <t>A clarifier</t>
  </si>
  <si>
    <t>Elsa</t>
  </si>
  <si>
    <t>TOM01-DON-01</t>
  </si>
  <si>
    <t>Données/BDD</t>
  </si>
  <si>
    <t>Périmètre des données identité non listé (obligatoire vs optionnel).</t>
  </si>
  <si>
    <t>Quelles données personnelles sont obligatoires/optionnelles et quelles données sont interdites de stockage (RGPD) ?
Quelle est la liste complète des champs obligatoires et optionnels pour créer un compte (email, téléphone, adresse, etc.)</t>
  </si>
  <si>
    <t>Tests incomplets + risque conformité</t>
  </si>
  <si>
    <t>Sécurité/Conformité</t>
  </si>
  <si>
    <t>Protéger les comptes contre les attaques tout en restant utilisable.</t>
  </si>
  <si>
    <t>Quelle est la politique de blocage de compte et de déconnexion automatique (nombre d’essais ratés, durée de blocage, timeout de session) ?</t>
  </si>
  <si>
    <t>Risque sécurité/RGPD + non‑conformité + blocage recette.</t>
  </si>
  <si>
    <t>TOM01-SEC-01</t>
  </si>
  <si>
    <t>IHM</t>
  </si>
  <si>
    <t>Empêcher l'ouverture de compte par des clients non éligibles.</t>
  </si>
  <si>
    <t>Y a‑t‑il des règles d’éligibilité particulières à contrôler à la création du compte (âge minimum, pays autorisés, situation de résidence) ? Si oui, lesquelles ?</t>
  </si>
  <si>
    <t>Tests UX incomplets + incompréhension utilisateur.</t>
  </si>
  <si>
    <t>Traçabilité/audit non précisée.</t>
  </si>
  <si>
    <t>Quels événements doivent être journalisés (création compte, changement MDP, activation 2FA/biométrie) et quel niveau de détail ?</t>
  </si>
  <si>
    <t>Impossible de valider exigences sécurité</t>
  </si>
  <si>
    <t>TOM06-DON-01</t>
  </si>
  <si>
    <t>Stockage des données utilisateur non cadré.</t>
  </si>
  <si>
    <t>Quelles informations doivent être stockées (obligatoires) et lesquelles ne doivent jamais l’être (RGPD) ?</t>
  </si>
  <si>
    <t>Non conformité + tests impossibles</t>
  </si>
  <si>
    <t>TOM06-FLD-01</t>
  </si>
  <si>
    <t>“Prénom : champ numérique” incohérent.</t>
  </si>
  <si>
    <t>Confirme‑t‑on que Nom/Prénom sont des champs texte (accents/traits d’union) et quelles validations ?</t>
  </si>
  <si>
    <t>Blocage dev/tests</t>
  </si>
  <si>
    <t>TOM06-FLD-02</t>
  </si>
  <si>
    <t>Format date de naissance “JJ/MM.AAAA” ambigu.</t>
  </si>
  <si>
    <t>Quel format exact attendu (JJ/MM/AAAA ou JJ.MM.AAAA) et quels contrôles (âge minimum, cohérence) ?</t>
  </si>
  <si>
    <t>Cas de test non déterministes</t>
  </si>
  <si>
    <t>TOM06-SEC-01</t>
  </si>
  <si>
    <t>Assurer une sécurité suffisante des mots de passe.
Règles MDP incomplètes (verrouillage, essais).</t>
  </si>
  <si>
    <t>Quel est le nombre d’essais avant blocage et la durée de verrouillage, et y a-t-il un anti‑bruteforce (rate‑limit/captcha) ?
Quelles sont exactement les règles de mot de passe à appliquer (longueur minimale, types de caractères, durée de validité, nombre d’essais avant blocage) ?</t>
  </si>
  <si>
    <t>Risque sécurité majeur
Risque sécurité/RGPD + non‑conformité + blocage recette.</t>
  </si>
  <si>
    <t>TOM07-DON-01</t>
  </si>
  <si>
    <t>Éviter les risques de performance et de stockage lors des uploads.
“Enregistrer en base les informations” sans détail.</t>
  </si>
  <si>
    <t>Quelle est la taille maximale autorisée par fichier et le nombre maximum de documents par type pour un utilisateur ?
Quelles données sont enregistrées (métadonnées, statut, lien fichier) et où sont stockés les fichiers (local vs serveur) ?</t>
  </si>
  <si>
    <t>Risque archi + RGPD
Risque perf/volumétrie + données incohérentes + tests BDD impossibles.</t>
  </si>
  <si>
    <t>TOM07-IHM-01</t>
  </si>
  <si>
    <t>“Liste des documents à fournir” non définie.</t>
  </si>
  <si>
    <t>Quelle est la liste exacte des justificatifs attendus en V1 (types de documents) ?</t>
  </si>
  <si>
    <t>Cas de test incomplets</t>
  </si>
  <si>
    <t>TOM07-SEC-01</t>
  </si>
  <si>
    <t>Contrôles sécurité fichiers non mentionnés.
Garantir une expérience claire en cas d'échec de téléversement.
Rester conforme au RGPD sur les pièces stockées.
[Respecter le KYC avec des justificatifs valides.</t>
  </si>
  <si>
    <t>Que doit‑il se passer en cas d’échec de téléversement (perte de connexion, format non autorisé, antivirus, dépassement de taille) : message affiché, possibilité de relancer, nombre de tentatives ?
Quelle est la politique de conservation et de suppression des documents (durée de stockage, anonymisation, suppression sur demande client) pour respecter le RGPD ?
Quels types de documents sont acceptés pour chaque justificatif (carte d’identité, justificatif de domicile, avis d’imposition, autres) et sous quels formats (PDF, JPG, PNG, etc.) ?
Y a‑t‑il des restrictions (extensions, taille), un scan antivirus, et un chiffrement au repos/en transit ?</t>
  </si>
  <si>
    <t>Risque sécurité
Risque sécurité/RGPD + non‑conformité + blocage recette.</t>
  </si>
  <si>
    <t>TOM08-2FA-01</t>
  </si>
  <si>
    <t>Canal 2FA non précisé.</t>
  </si>
  <si>
    <t>Quel canal 2FA en V1 (SMS, email, TOTP) et quelles règles d’expiration/nb essais ?</t>
  </si>
  <si>
    <t>Impossible d’écrire tests 2FA</t>
  </si>
  <si>
    <t>TOM08-2FA-02</t>
  </si>
  <si>
    <t>Clarifier l’usage combiné mot de passe, 2FA et biométrie.
Sécuriser les connexions sensibles avec une double authentification efficace.
“Nouvelles informations de connexion” à POST non définies.</t>
  </si>
  <si>
    <t>La biométrie remplace‑t‑elle la double authentification ou vient‑elle en complément (par exemple biométrie pour la connexion courante mais 2FA exigée pour les actions sensibles) ?
Quel canal de double authentification devons‑nous utiliser en V1 (SMS, email, application d’authentification, push mobile) ?
Quelles données doivent être renvoyées à SECU après 2FA OK (token, device, date/heure) ?</t>
  </si>
  <si>
    <t>Ambiguïté intégration
Parcours de connexion non testable + risque fraude/lockout.</t>
  </si>
  <si>
    <t>TOM08-API-01</t>
  </si>
  <si>
    <t>API/Interco</t>
  </si>
  <si>
    <t>Envoi credentials en GET vers SECU (sensibilité).</t>
  </si>
  <si>
    <t>Peux‑tu confirmer les méthodes HTTP attendues (GET/POST) et le format exact des payloads (jamais de MDP en URL) ?</t>
  </si>
  <si>
    <t>Risque sécurité bloquant</t>
  </si>
  <si>
    <t>TOM09-BIO-01</t>
  </si>
  <si>
    <t>Moment d’affichage biométrie non précisé.</t>
  </si>
  <si>
    <t>La biométrie est‑elle proposée à chaque login, seulement après 1er login réussi, ou au déverrouillage session ?</t>
  </si>
  <si>
    <t>Tests parcours incomplets</t>
  </si>
  <si>
    <t>TOM09-BIO-02</t>
  </si>
  <si>
    <t>Fallback non décrit.
ssurer le support biométrie sur les plateformes cibles.</t>
  </si>
  <si>
    <t>Quel fallback attendu en cas d’échec/indisponibilité biométrie (MDP + 2FA) et après combien d’échecs ?
Quelles plateformes et quels OS doivent être supportés pour la biométrie (iOS FaceID/TouchID, Android, desktop) ?</t>
  </si>
  <si>
    <t>Parcours de connexion non testable + risque fraude/lockout.
Risque blocage utilisateur</t>
  </si>
  <si>
    <t>TOM02-API-01</t>
  </si>
  <si>
    <t>Aligner la mise à jour des données bancaires avec le besoin métier.
Banques supportées en V1 non listées.
Liste des balise de réponse des requet interconnexion</t>
  </si>
  <si>
    <t>Que doit‑il se passer si une banque ne répond pas ou retourne une erreur (message à l’utilisateur, délai de nouvel essai, nombre de tentatives, journalisation des erreurs) ?
Quelle est la liste officielle des banques supportées en V1 et que fait l’app si la banque n’est pas supportée ?
À quelle fréquence les données bancaires doivent‑elles être mises à jour pour l’utilisateur (quasi temps réel, plusieurs fois par jour, une fois par jour) ?</t>
  </si>
  <si>
    <t>Couverture tests impossible + blocage démo
Intégration non testable + retards + incidents prod.</t>
  </si>
  <si>
    <t>TOM02-SEC-01</t>
  </si>
  <si>
    <t>Protocole d’interconnexion/consentement non cadré.</t>
  </si>
  <si>
    <t>Utilise‑t‑on un standard (PSD2/OAuth2) et quelle est la durée/renouvellement des consentements ?</t>
  </si>
  <si>
    <t>Risque de non‑conformité + retards</t>
  </si>
  <si>
    <t>TOM10-API-01</t>
  </si>
  <si>
    <t>Sécurisation “appel sécurisé” non précisée.</t>
  </si>
  <si>
    <t>Quel mécanisme de sécurité est attendu (TLS uniquement, API key, OAuth) et quelles erreurs d’auth doivent être gérées ?</t>
  </si>
  <si>
    <t>Intégration non testable</t>
  </si>
  <si>
    <t>TOM10-DON-01</t>
  </si>
  <si>
    <t>“Stocker en BDD” sans schéma ni champs obligatoires.</t>
  </si>
  <si>
    <t>Quelles tables/objets doivent être créés et quels champs sont obligatoires vs optionnels (et durée de conservation) ?</t>
  </si>
  <si>
    <t>Couverture BDD impossible</t>
  </si>
  <si>
    <t>TOM10-LIEN-01</t>
  </si>
  <si>
    <t>Gouvernance</t>
  </si>
  <si>
    <t>Parent = TOM09 (biométrie) incohérent.</t>
  </si>
  <si>
    <t>Peux‑tu confirmer la dépendance correcte (probablement TOM02) et le ticket parent attendu ?</t>
  </si>
  <si>
    <t>Risque de planning erroné</t>
  </si>
  <si>
    <t>TOM10-NFR-01</t>
  </si>
  <si>
    <t>Limite 1 req/5min : périmètre flou (par user ? global ?).</t>
  </si>
  <si>
    <t>La limitation “1 demande / 5 minutes” s’applique par utilisateur, par device, ou globalement ?</t>
  </si>
  <si>
    <t>Risque de rejet API + bugs</t>
  </si>
  <si>
    <t>TOM11-API-03</t>
  </si>
  <si>
    <t>Informer l’utilisateur si les données bancaires sont incomplètes.</t>
  </si>
  <si>
    <t>Que doit afficher l’application si certaines banques ne renvoient pas leurs données (message d’avertissement, solde partiel, dernier solde connu) ?</t>
  </si>
  <si>
    <t>Intégration non testable + retards + incidents prod.</t>
  </si>
  <si>
    <t>TOM11-IHM-01</t>
  </si>
  <si>
    <t>Bouton “Rafraîchir” tout en bas : accessibilité/perf.</t>
  </si>
  <si>
    <t>Le bouton doit‑il être sticky/visible sans scroller, et y a‑t‑il un loader/état “dernière maj” ?</t>
  </si>
  <si>
    <t>UX non validable</t>
  </si>
  <si>
    <t>TOM11-IHM-02</t>
  </si>
  <si>
    <t>Ordre d’affichage des blocs banques non précisé.</t>
  </si>
  <si>
    <t>Quel est l’ordre attendu (alphabétique, banque principale, dernier usage) et le comportement si 0 banque ?</t>
  </si>
  <si>
    <t>Tests IHM incomplets</t>
  </si>
  <si>
    <t>TOM12-API-01</t>
  </si>
  <si>
    <t>URL BDF incohérente (rlv vs infos).</t>
  </si>
  <si>
    <t>Peux‑tu confirmer l’endpoint exact à appeler pour les relevés (URL + méthode + params) ?</t>
  </si>
  <si>
    <t>Blocage intégration/tests</t>
  </si>
  <si>
    <t>TOM12-DON-02</t>
  </si>
  <si>
    <t>Limiter la charge liée aux exports massifs.</t>
  </si>
  <si>
    <t>Quelles limites de période devons‑nous appliquer pour l’export de relevés (période maximale par fichier, nombre de téléchargements par jour) ?</t>
  </si>
  <si>
    <t>Risque perf/volumétrie + données incohérentes + tests BDD impossibles.</t>
  </si>
  <si>
    <t>Équipe technique</t>
  </si>
  <si>
    <t>TOM12-IHM-01</t>
  </si>
  <si>
    <t>Libellé bouton non harmonisé.</t>
  </si>
  <si>
    <t>Valide‑t‑on “Télécharger mes relevés de comptes” partout (pas “relevé” singulier) ?</t>
  </si>
  <si>
    <t>Incohérences UX</t>
  </si>
  <si>
    <t>TOM12-IHM-02</t>
  </si>
  <si>
    <t>Gestion multi‑PDF non précisée.
Proposer des relevés téléchargeables dans des formats utiles.</t>
  </si>
  <si>
    <t>Le service renvoie “1 PDF par banque” : télécharge‑t‑on un ZIP, une sélection banque, ou plusieurs téléchargements successifs ?
Sous quels formats les relevés doivent‑ils être téléchargeables (PDF, CSV, autres) et quel contenu minimum doit apparaître sur chaque relevé ?</t>
  </si>
  <si>
    <t>Cas de test manquants
Tests UX incomplets + incompréhension utilisateur.</t>
  </si>
  <si>
    <t>TOM03-DON-01</t>
  </si>
  <si>
    <t>Règles de pagination/volumétrie non précisées.</t>
  </si>
  <si>
    <t>Combien de transactions maximum doit-on afficher/charger et quelle stratégie (pagination vs scroll) ?</t>
  </si>
  <si>
    <t>Risque perf + bugs production</t>
  </si>
  <si>
    <t>TOM03-IHM-01</t>
  </si>
  <si>
    <t>Fonctions de filtre/tri non précisées.</t>
  </si>
  <si>
    <t>Quels filtres/tri sont requis sur la consultation (date, montant, banque, catégorie) et quel historique par défaut ?</t>
  </si>
  <si>
    <t>Tests UX incomplets</t>
  </si>
  <si>
    <t>TOM13-DON-01</t>
  </si>
  <si>
    <t>“Ne pas stocker en BDD” mais besoin cache/perf.</t>
  </si>
  <si>
    <t>Confirme‑t‑on zéro stockage (même cache) et comment gère‑t‑on la performance si l’utilisateur replie/déplie souvent ?</t>
  </si>
  <si>
    <t>Risque perf et instabilité</t>
  </si>
  <si>
    <t>TOM13-IHM-01</t>
  </si>
  <si>
    <t>Volumétrie “dernières transactions” non définie.</t>
  </si>
  <si>
    <t>Combien de transactions par banque doit‑on afficher (10/50/100) et y a‑t‑il pagination ?</t>
  </si>
  <si>
    <t>Risque perf + tests flous</t>
  </si>
  <si>
    <t>TOM04-DON-01</t>
  </si>
  <si>
    <t>Définition “type de dépense” floue.</t>
  </si>
  <si>
    <t>Les “types de dépense” correspondent-ils à une liste de catégories figée, et d’où provient la catégorie (banque vs moteur interne) ?</t>
  </si>
  <si>
    <t>Calcul non testable</t>
  </si>
  <si>
    <t>TOM04-IHM-01</t>
  </si>
  <si>
    <t>Période paramétrable “en fonction d’une date” ambiguë.</t>
  </si>
  <si>
    <t>La période correspond-elle à un mois calendaire, glissant, ou date‑à‑date (start/end) ?</t>
  </si>
  <si>
    <t>Résultats incohérents + litiges</t>
  </si>
  <si>
    <t>TOM14-DON-01</t>
  </si>
  <si>
    <t>Règles de calcul du camembert non précisées (débits/crédits).</t>
  </si>
  <si>
    <t>Inclut‑on uniquement les débits (dépenses) ou aussi les crédits, et comment gère‑t‑on remboursements/annulations ?</t>
  </si>
  <si>
    <t>Résultats métier faux</t>
  </si>
  <si>
    <t>TOM14-IHM-01</t>
  </si>
  <si>
    <t>Paramétrage période “en fonction d’une date” insuffisant.</t>
  </si>
  <si>
    <t>Quel sélecteur date est attendu (date unique, intervalle) et quel défaut (mois courant) ?</t>
  </si>
  <si>
    <t>TOM14-NOM-01</t>
  </si>
  <si>
    <t>Titre “Interconnexions bancaires” alors que contenu = suivi conso.</t>
  </si>
  <si>
    <t>Peux‑tu confirmer le nom correct du TOM14 et son périmètre (suivi conso camembert) ?</t>
  </si>
  <si>
    <t>Risque confusion backlog</t>
  </si>
  <si>
    <t>TOM05-IHM-01</t>
  </si>
  <si>
    <t>Périmètre aide utilisateur hors conseiller virtuel non explicité.</t>
  </si>
  <si>
    <t>L’epic “Aides utilisateurs” inclut-il autre chose que le conseiller (FAQ/contact) en V1 ?</t>
  </si>
  <si>
    <t>Scope flou + planning instable</t>
  </si>
  <si>
    <t>TOM15-IHM-01</t>
  </si>
  <si>
    <t>Clarifier la valeur ajoutée du conseiller virtuel.
“Fenêtre de discussion” mais pas de chat réel (redirige RDV).</t>
  </si>
  <si>
    <t>Quels types de recommandations le conseiller virtuel doit‑il fournir en V1 (alerte de dépassement de budget, conseils d’épargne, alertes d’opérations inhabituelles, autres) ?
Souhaite‑t‑on un assistant “standard” (bulle + 2 choix) ou plusieurs assistants/contextes selon banque/sujet ?</t>
  </si>
  <si>
    <t>Scope produit ambigu
Tests UX incomplets + incompréhension utilisateur.</t>
  </si>
  <si>
    <t>TOM15-INT-01</t>
  </si>
  <si>
    <t>Page “prise de rendez-vous” non décrite.</t>
  </si>
  <si>
    <t>Existe‑t‑il déjà une page/service de RDV (URL, champs, calendrier) et quelles données sont transmises depuis l’assistant ?</t>
  </si>
  <si>
    <t>Blocage E2E sprint 5</t>
  </si>
  <si>
    <t>ID</t>
  </si>
  <si>
    <t>Exigence</t>
  </si>
  <si>
    <t>Titre</t>
  </si>
  <si>
    <t>Type</t>
  </si>
  <si>
    <t>TC-S1-001</t>
  </si>
  <si>
    <t>Comptes &amp; identités – règles V1 (unicité / multi-profils)</t>
  </si>
  <si>
    <t>Fonctionnel (E2E)</t>
  </si>
  <si>
    <t>TC-S1-002</t>
  </si>
  <si>
    <t>TOM01-DON-01 (Données/BDD)</t>
  </si>
  <si>
    <t>Création de compte – champs obligatoires/optionnels &amp; conformité RGPD (données)</t>
  </si>
  <si>
    <t>Fonctionnel + Données</t>
  </si>
  <si>
    <t>TC-S1-003</t>
  </si>
  <si>
    <t>TOM01-DON-01 (Sécurité/Conformité)</t>
  </si>
  <si>
    <t>Session – déconnexion automatique après inactivité (timeout)</t>
  </si>
  <si>
    <t>Sécurité (E2E)</t>
  </si>
  <si>
    <t>TC-S1-004</t>
  </si>
  <si>
    <t>TOM01-DON-01 (Sécurité/Conformité) ; TOM06-SEC-01 (Sécurité/Conformité)</t>
  </si>
  <si>
    <t>Authentification – verrouillage &amp; anti-bruteforce après échecs</t>
  </si>
  <si>
    <t>TC-S1-005</t>
  </si>
  <si>
    <t>TOM01-SEC-01 (Sécurité/Conformité)</t>
  </si>
  <si>
    <t>Audit – journalisation des événements sensibles (compte/MDP/2FA/biométrie)</t>
  </si>
  <si>
    <t>Sécurité / Audit</t>
  </si>
  <si>
    <t>TC-S1-006</t>
  </si>
  <si>
    <t>TOM01-SEC-01 (IHM)</t>
  </si>
  <si>
    <t>Création de compte – contrôle d’éligibilité (âge/pays/résidence)</t>
  </si>
  <si>
    <t>Fonctionnel (E2E) / Conformité</t>
  </si>
  <si>
    <t>TC-S1-007</t>
  </si>
  <si>
    <t>Données utilisateur – stockage autorisé vs interdit (RGPD)</t>
  </si>
  <si>
    <t>Données / Conformité</t>
  </si>
  <si>
    <t>TC-S1-008</t>
  </si>
  <si>
    <t>Saisie Nom/Prénom – acceptation des caractères autorisés</t>
  </si>
  <si>
    <t>Fonctionnel / Validation</t>
  </si>
  <si>
    <t>TC-S1-009</t>
  </si>
  <si>
    <t>Saisie Nom/Prénom – rejet des valeurs invalides (numérique/injection/longueur)</t>
  </si>
  <si>
    <t>Sécurité / Validation</t>
  </si>
  <si>
    <t>TC-S1-010</t>
  </si>
  <si>
    <t>Date de naissance – format &amp; contrôles de cohérence</t>
  </si>
  <si>
    <t>TC-S1-011</t>
  </si>
  <si>
    <t>Mot de passe – application des règles de complexité à la création</t>
  </si>
  <si>
    <t>Sécurité / Fonctionnel</t>
  </si>
  <si>
    <t>TC-S1-012</t>
  </si>
  <si>
    <t>KYC – limites upload (taille/nombre) &amp; métadonnées stockées</t>
  </si>
  <si>
    <t>Fonctionnel / Données</t>
  </si>
  <si>
    <t>TC-S1-013</t>
  </si>
  <si>
    <t>KYC – affichage de la liste des justificatifs attendus (V1)</t>
  </si>
  <si>
    <t>UX / Fonctionnel</t>
  </si>
  <si>
    <t>TC-S1-014</t>
  </si>
  <si>
    <t>KYC – contrôles sécurité fichiers (extension/AV/chiffrement) &amp; conservation/suppression RGPD</t>
  </si>
  <si>
    <t>Sécurité / Conformité RGPD</t>
  </si>
  <si>
    <t>TC-S1-015</t>
  </si>
  <si>
    <t>KYC – gestion des échecs de téléversement (réseau/format/taille) &amp; relance</t>
  </si>
  <si>
    <t>Fonctionnel / Résilience</t>
  </si>
  <si>
    <t>TC-S1-016</t>
  </si>
  <si>
    <t>2FA – parcours standard (enrôlement &amp; validation code)</t>
  </si>
  <si>
    <t>TC-S1-017</t>
  </si>
  <si>
    <t>2FA &amp; biométrie – règles d’exigence sur actions sensibles</t>
  </si>
  <si>
    <t>Sécurité / Intégration</t>
  </si>
  <si>
    <t>TC-S1-018</t>
  </si>
  <si>
    <t>API SECU – méthode &amp; payload (jamais de mot de passe en URL)</t>
  </si>
  <si>
    <t>API / Sécurité</t>
  </si>
  <si>
    <t>TC-S1-019</t>
  </si>
  <si>
    <t>Biométrie – moment de proposition (1er login / chaque login / déverrouillage)</t>
  </si>
  <si>
    <t>UX / Sécurité</t>
  </si>
  <si>
    <t>TC-S1-020</t>
  </si>
  <si>
    <t>Biométrie – fallback en cas d’échec/indisponibilité + limitation d’essais</t>
  </si>
  <si>
    <t>Sécurité / Compatibilité</t>
  </si>
  <si>
    <t>TC-S2-001</t>
  </si>
  <si>
    <t>Interconnexion banques – gestion des erreurs (timeout/HTTP) &amp; banque non supportée</t>
  </si>
  <si>
    <t>Résilience / Intégration</t>
  </si>
  <si>
    <t>TC-S2-002</t>
  </si>
  <si>
    <t>Interconnexion banques – rafraîchissement des données &amp; fréquence de mise à jour</t>
  </si>
  <si>
    <t>Fonctionnel / Intégration</t>
  </si>
  <si>
    <t>TC-S2-003</t>
  </si>
  <si>
    <t>Consentement – obtention et stockage (standard OAuth2/PSD2)</t>
  </si>
  <si>
    <t>TC-S2-004</t>
  </si>
  <si>
    <t>Consentement – renouvellement, expiration et révocation</t>
  </si>
  <si>
    <t>Sécurité / Conformité</t>
  </si>
  <si>
    <t>TC-S2-005</t>
  </si>
  <si>
    <t>API – authentification des appels (TLS + mécanisme attendu)</t>
  </si>
  <si>
    <t>TC-S2-006</t>
  </si>
  <si>
    <t>Données interconnexion – persistance (objets/champs) &amp; conservation</t>
  </si>
  <si>
    <t>Données / Intégration</t>
  </si>
  <si>
    <t>TC-S2-007</t>
  </si>
  <si>
    <t>Gouvernance – cohérence des dépendances &amp; ticket parent</t>
  </si>
  <si>
    <t>Processus / Gouvernance</t>
  </si>
  <si>
    <t>TC-S2-008</t>
  </si>
  <si>
    <t>NFR – limitation de fréquence (1 demande / 5 min) selon périmètre</t>
  </si>
  <si>
    <t>Performance / Sécurité</t>
  </si>
  <si>
    <t>TC-S2-009</t>
  </si>
  <si>
    <t>Données bancaires incomplètes – message utilisateur &amp; calcul (solde partiel/dernier connu)</t>
  </si>
  <si>
    <t>Fonctionnel / UX</t>
  </si>
  <si>
    <t>TC-S2-010</t>
  </si>
  <si>
    <t>IHM – bouton « Rafraîchir » (accessibilité, sticky) &amp; loader/dernière maj</t>
  </si>
  <si>
    <t>TC-S2-011</t>
  </si>
  <si>
    <t>IHM – ordre d’affichage des banques &amp; comportement si 0 banque</t>
  </si>
  <si>
    <t>TC-S2-012</t>
  </si>
  <si>
    <t>API relevés – appel endpoint (URL/méthode/paramètres) &amp; gestion erreurs</t>
  </si>
  <si>
    <t>API / Intégration</t>
  </si>
  <si>
    <t>TC-S2-013</t>
  </si>
  <si>
    <t>Export relevés – contrôle des limites (période max / quotas)</t>
  </si>
  <si>
    <t>Fonctionnel / NFR</t>
  </si>
  <si>
    <t>TC-S2-014</t>
  </si>
  <si>
    <t>IHM – libellé harmonisé « Télécharger mes relevés de comptes »</t>
  </si>
  <si>
    <t>UX / Contenu</t>
  </si>
  <si>
    <t>TC-S2-015</t>
  </si>
  <si>
    <t>Export relevés – formats (PDF/CSV) &amp; contenu minimum</t>
  </si>
  <si>
    <t>Fonctionnel / Conformité</t>
  </si>
  <si>
    <t>TC-S2-016</t>
  </si>
  <si>
    <t>Export relevés – multi-banques (ZIP/sélection) &amp; parcours utilisateur</t>
  </si>
  <si>
    <t>TC-S3-001</t>
  </si>
  <si>
    <t>Consultation transactions – volumétrie &amp; pagination (max affiché/chargé)</t>
  </si>
  <si>
    <t>Performance / Fonctionnel</t>
  </si>
  <si>
    <t>TC-S3-002</t>
  </si>
  <si>
    <t>Consultation transactions – filtres &amp; tri (date/montant/banque/catégorie)</t>
  </si>
  <si>
    <t>TC-S3-003</t>
  </si>
  <si>
    <t>Dernières transactions – zéro stockage (BDD/cache) &amp; impact perf (repli/dépli)</t>
  </si>
  <si>
    <t>Données / Performance</t>
  </si>
  <si>
    <t>TC-S3-004</t>
  </si>
  <si>
    <t>Dernières transactions – nombre affiché (10/50/100) &amp; pagination</t>
  </si>
  <si>
    <t>TC-S4-001</t>
  </si>
  <si>
    <t>Catégorisation dépenses – liste catégories &amp; source (banque vs moteur)</t>
  </si>
  <si>
    <t>Données / Fonctionnel</t>
  </si>
  <si>
    <t>TC-S4-002</t>
  </si>
  <si>
    <t>Filtre période – définition (mois calendaire vs glissant vs start/end)</t>
  </si>
  <si>
    <t>TC-S4-003</t>
  </si>
  <si>
    <t>Camembert conso – règles de calcul (débits/crédits/remboursements)</t>
  </si>
  <si>
    <t>TC-S4-004</t>
  </si>
  <si>
    <t>Camembert conso – sélecteur date (unique/intervalle) &amp; défaut</t>
  </si>
  <si>
    <t>TC-S4-005</t>
  </si>
  <si>
    <t>Gouvernance – nom &amp; périmètre TOM14 (cohérence documentation)</t>
  </si>
  <si>
    <t>TC-S5-001</t>
  </si>
  <si>
    <t>Aide utilisateur – accès (FAQ / contact / conseiller virtuel) selon périmètre V1</t>
  </si>
  <si>
    <t>TC-S5-002</t>
  </si>
  <si>
    <t>Conseiller virtuel – recommandations V1 &amp; scénario « redirection RDV »</t>
  </si>
  <si>
    <t>TC-S5-003</t>
  </si>
  <si>
    <t>Intégration RDV – URL/service, données transmises depuis l’assistant</t>
  </si>
  <si>
    <t>Intégration / Sécurité</t>
  </si>
  <si>
    <t>Description</t>
  </si>
  <si>
    <t>Préconditions</t>
  </si>
  <si>
    <t>Étapes</t>
  </si>
  <si>
    <t>Données</t>
  </si>
  <si>
    <t>Résultat attendu</t>
  </si>
  <si>
    <t>Valider la règle V1 de gestion des identités (un seul profil vs multi-profils) et le comportement en cas de tentative de création d’un second profil.</t>
  </si>
  <si>
    <t>Environnement de test disponible (web/app), comptes de test autorisés, accès aux logs applicatifs.
• Règle V1 confirmée (un seul profil ou multi-profils) et données de test correspondantes.</t>
  </si>
  <si>
    <t>1. Créer un compte avec un email de test (email_A).
2. Se déconnecter.
3. Tenter de créer un second compte/profil avec le même email (email_A) ou d’ajouter une seconde identité si l’UI le permet.
4. Observer le comportement (création refusée / profil additionnel créé / parcours alternatif).</t>
  </si>
  <si>
    <t>email_A=utilisateur.test+001@exemple.com
Mot de passe conforme à la politique</t>
  </si>
  <si>
    <t>Le comportement correspond à la règle V1 validée :
• Si mono-profil : création/refus explicite + message utilisateur ; aucune duplication en base.
• Si multi-profil : profil additionnel créé avec séparation des données et traçabilité.</t>
  </si>
  <si>
    <t>Vérifier la complétude des champs (obligatoires/optionnels), les validations côté UI/API et la persistance uniquement des données autorisées.</t>
  </si>
  <si>
    <t>Environnement de test disponible (web/app), comptes de test autorisés, accès aux logs applicatifs.
Accès lecture aux logs/BDD (ou observabilité) pour vérifier les données persistées.
• Liste des champs obligatoires/optionnels + données interdites de stockage (RGPD) disponible.</t>
  </si>
  <si>
    <t>1. Ouvrir l’écran de création de compte.
2. Renseigner uniquement les champs obligatoires avec des valeurs valides.
3. Soumettre le formulaire.
4. Vérifier que le compte est créé.
5. Répéter en omettant 1 champ obligatoire (un par itération).
6. Contrôler en base/logs que seules les données autorisées sont stockées (pas de données interdites).</t>
  </si>
  <si>
    <t>Jeu 1 (valide) : email, téléphone, adresse (selon règles), nom/prénom, date de naissance…
Jeu 2 (négatif) : omission d’un champ obligatoire</t>
  </si>
  <si>
    <t>• Création acceptée uniquement si tous les champs obligatoires sont présents et valides.
• Messages d’erreur explicites en cas de champ manquant/invalidité.
• Aucune donnée interdite RGPD n’est persistée (ni dans BDD, ni dans logs applicatifs).</t>
  </si>
  <si>
    <t>Valider la déconnexion automatique après une période d’inactivité et le comportement de reprise.</t>
  </si>
  <si>
    <t>Environnement de test disponible (web/app), comptes de test autorisés, accès aux logs applicatifs.
• Valeur de timeout session connue (T minutes) et observable (UI/logs).</t>
  </si>
  <si>
    <t>1. Se connecter avec un compte valide.
2. Rester inactif pendant T minutes (ou simuler via configuration).
3. Interagir avec l’application (navigation / action).
4. Observer l’état de session et la redirection éventuelle.
5. Tenter une action nécessitant une session active.</t>
  </si>
  <si>
    <t>Compte valide (user_A) ; T = timeout configuré</t>
  </si>
  <si>
    <t>• À l’issue de T : session invalidée.
• L’utilisateur est redirigé vers la connexion avec un message explicite.
• Aucune action sensible n’est exécutée avec une session expirée.</t>
  </si>
  <si>
    <t>Valider la politique de protection contre le bruteforce : nombre d’échecs avant blocage, durée, rate-limit/captcha et journalisation.</t>
  </si>
  <si>
    <t>Environnement de test disponible (web/app), comptes de test autorisés, accès aux logs applicatifs.
• Un compte actif existe (user_A) et la politique de sécurité (N tentatives, durée, anti-bruteforce) est configurée.</t>
  </si>
  <si>
    <t>1. Se rendre sur l’écran de connexion.
2. Saisir user_A avec un mot de passe incorrect.
3. Répéter jusqu’à atteindre le seuil d’échecs (N).
4. Tenter une connexion supplémentaire (mot de passe incorrect puis correct).
5. Vérifier le comportement (blocage / captcha / rate-limit) et le message affiché.
6. Attendre la durée de blocage (ou simuler l’expiration) puis retenter avec le mot de passe correct.
7. Vérifier la journalisation (événement de blocage, IP, horodatage).</t>
  </si>
  <si>
    <t>user_A=utilisateur.test+login@exemple.com
MDP_incorrect=xxxxx
MDP_correct=&lt;conforme&gt;</t>
  </si>
  <si>
    <t>• Après N échecs : accès refusé selon politique (blocage/captcha/rate-limit) + message clair.
• Pendant blocage : même mot de passe correct est refusé.
• Après expiration : connexion possible.
• Événements de sécurité journalisés avec le niveau de détail attendu.</t>
  </si>
  <si>
    <t>Contrôler que les actions sensibles génèrent des événements d’audit complets et exploitables.</t>
  </si>
  <si>
    <t>Environnement de test disponible (web/app), comptes de test autorisés, accès aux logs applicatifs.
• Accès aux logs/audit trail.
• Liste des événements attendus disponible.</t>
  </si>
  <si>
    <t>1. Créer un compte utilisateur.
2. Se connecter.
3. Changer le mot de passe.
4. Activer/désactiver 2FA.
5. Activer la biométrie (si disponible).
6. Vérifier dans l’audit trail la présence des événements, leur horodatage, l’identifiant utilisateur et le contexte (IP/device).</t>
  </si>
  <si>
    <t>Compte user_A ; actions sensibles ci-dessus</t>
  </si>
  <si>
    <t>Chaque action sensible produit un événement d’audit conforme :
• type d’événement correct, userId, timestamp, source (IP/device), résultat (succès/échec).
• Pas d’exposition de secrets (MDP, codes 2FA) dans les logs.</t>
  </si>
  <si>
    <t>Vérifier que les règles d’éligibilité bloquent la création pour un utilisateur non éligible et guident l’utilisateur.</t>
  </si>
  <si>
    <t>Environnement de test disponible (web/app), comptes de test autorisés, accès aux logs applicatifs.
• Règles d’éligibilité V1 connues (âge min, pays autorisés, résidence…).</t>
  </si>
  <si>
    <t>1. Ouvrir l’écran de création de compte.
2. Saisir des données correspondant à un cas non éligible (ex. âge &lt; min ou pays non autorisé).
3. Soumettre la demande.
4. Répéter avec un cas éligible.
5. Vérifier la traçabilité (audit) si applicable.</t>
  </si>
  <si>
    <t>Cas non éligible : âge=16 (si min=18) OU pays=XX non autorisé
Cas éligible : âge&gt;=min, pays autorisé</t>
  </si>
  <si>
    <t>• Cas non éligible : création refusée, message clair (raison + next step) ; aucune création en base.
• Cas éligible : parcours continue/compte créé.</t>
  </si>
  <si>
    <t>Vérifier la persistance des informations obligatoires et l’absence de stockage des données interdites (y compris cache/logs).</t>
  </si>
  <si>
    <t>Environnement de test disponible (web/app), comptes de test autorisés, accès aux logs applicatifs.
Accès lecture aux logs/BDD (ou observabilité) pour vérifier les données persistées.
• Règles de données autorisées/interdites disponibles.</t>
  </si>
  <si>
    <t>1. Créer un compte avec un jeu de données complet.
2. Consulter les données persistées (BDD) et les logs applicatifs.
3. Vérifier les champs obligatoires stockés (et leur format).
4. Vérifier qu’aucune donnée interdite n’apparaît (BDD, logs, exports).</t>
  </si>
  <si>
    <t>Jeu de données complet (identité) + valeurs représentatives</t>
  </si>
  <si>
    <t>• Champs obligatoires présents et exacts.
• Données interdites absentes partout (stockage &amp; traces).
• Formats conformes (ex. normalisation, encodage).</t>
  </si>
  <si>
    <t>Valider que Nom/Prénom acceptent les caractères attendus (lettres, accents, traits d’union, espaces) et respectent les longueurs max.</t>
  </si>
  <si>
    <t>Environnement de test disponible (web/app), comptes de test autorisés, accès aux logs applicatifs.</t>
  </si>
  <si>
    <t>1. Ouvrir l’écran de saisie identité.
2. Renseigner Nom/Prénom avec des valeurs valides (accents, tirets, espaces).
3. Soumettre.
4. Vérifier l’affichage et la persistance (si accessible).</t>
  </si>
  <si>
    <t>Nom=Durand‑Martin
Prénom=Élodie Anne
Longueur = max‑1</t>
  </si>
  <si>
    <t>Les valeurs valides sont acceptées, affichées correctement (accents conservés) et enregistrées sans altération.</t>
  </si>
  <si>
    <t>S’assurer que les champs Nom/Prénom rejettent les valeurs non conformes et protègent contre l’injection.</t>
  </si>
  <si>
    <t>1. Ouvrir l’écran de saisie identité.
2. Saisir un prénom numérique (ex. 12345) et soumettre.
3. Saisir une chaîne avec caractères interdits (ex. &lt;script&gt;…&lt;/script&gt;) et soumettre.
4. Saisir une valeur dépassant la longueur maximale et soumettre.
5. Vérifier les messages d’erreur et l’absence de création/enregistrement.</t>
  </si>
  <si>
    <t>Prénom=12345
Nom=&lt;script&gt;alert(1)&lt;/script&gt;
Nom=AAAA...(max+1)</t>
  </si>
  <si>
    <t>• Les valeurs invalides sont refusées avec un message clair.
• Aucune injection n’est exécutée (affichage neutralisé/échappé).
• Aucune donnée invalide n’est persistée.</t>
  </si>
  <si>
    <t>Valider le format de saisie de la date de naissance et les contrôles (âge minimum, dates impossibles/futures).</t>
  </si>
  <si>
    <t>Environnement de test disponible (web/app), comptes de test autorisés, accès aux logs applicatifs.
• Format officiel confirmé (ex. JJ/MM/AAAA) et âge minimum connu.</t>
  </si>
  <si>
    <t>1. Ouvrir l’écran de saisie date de naissance.
2. Saisir une date au format attendu et soumettre.
3. Saisir une date au format non conforme et soumettre.
4. Saisir une date future et soumettre.
5. Saisir une date correspondant à un âge &lt; minimum et soumettre.</t>
  </si>
  <si>
    <t>Valide: 15/04/1990
Invalide: 15/04.1990
Futur: 01/01/2100
Âge&lt;min: 01/01/2012</t>
  </si>
  <si>
    <t>• Format conforme accepté.
• Formats non conformes rejetés.
• Dates futures/impossibles rejetées.
• Âge &lt; minimum : création bloquée + message explicite.</t>
  </si>
  <si>
    <t>Vérifier que la politique mot de passe est appliquée (longueur, complexité, interdits) et que les messages d’erreur sont compréhensibles.</t>
  </si>
  <si>
    <t>Environnement de test disponible (web/app), comptes de test autorisés, accès aux logs applicatifs.
• Politique MDP documentée (longueur min, classes de caractères, mots interdits, etc.).</t>
  </si>
  <si>
    <t>1. Ouvrir la création de compte.
2. Saisir un mot de passe non conforme (trop court / sans majuscule / etc.) et soumettre.
3. Vérifier le message d’erreur.
4. Saisir un mot de passe conforme et soumettre.
5. Vérifier que le compte est créé et que le MDP n’est jamais affiché en clair (UI/logs).</t>
  </si>
  <si>
    <t>MDP_invalide: 'password'
MDP_valide: 'A1!xxxxxx'</t>
  </si>
  <si>
    <t>• MDP non conforme refusé + message indiquant la règle manquante.
• MDP conforme accepté.
• Aucun secret n’est journalisé.</t>
  </si>
  <si>
    <t>Vérifier l’application des limites d’upload et la traçabilité des métadonnées (statut, type, horodatage, lien fichier).</t>
  </si>
  <si>
    <t>Environnement de test disponible (web/app), comptes de test autorisés, accès aux logs applicatifs.
Accès lecture aux logs/BDD (ou observabilité) pour vérifier les données persistées.
• Limites (taille max, nb max) connues.</t>
  </si>
  <si>
    <t>1. Accéder à l’écran de téléversement KYC.
2. Uploader un fichier conforme (format + taille &lt; max).
3. Vérifier succès + statut.
4. Uploader un fichier dépassant la taille max.
5. Uploader des fichiers jusqu’au nombre max autorisé.
6. Vérifier le refus au-delà de la limite.
7. Vérifier en base/logs les métadonnées enregistrées (type, taille, statut, date).</t>
  </si>
  <si>
    <t>Fichier_valide.pdf (&lt;max)
Fichier_trop_gros.pdf (&gt;max)
N fichiers conformes</t>
  </si>
  <si>
    <t>• Upload conforme accepté.
• Dépassement taille / nombre : refus + message clair.
• Métadonnées enregistrées conformément au modèle attendu.</t>
  </si>
  <si>
    <t>Contrôler que l’application affiche la liste exacte des justificatifs et les règles associées (obligatoire/optionnel, formats).</t>
  </si>
  <si>
    <t>Environnement de test disponible (web/app), comptes de test autorisés, accès aux logs applicatifs.
• Liste officielle des justificatifs V1 disponible.</t>
  </si>
  <si>
    <t>1. Ouvrir l’étape KYC.
2. Consulter la liste des documents demandés.
3. Vérifier l’intitulé, l’ordre et les indications (format accepté, taille max, obligatoire/optionnel).
4. Comparer à la liste officielle V1.</t>
  </si>
  <si>
    <t>Liste officielle V1 (référence)</t>
  </si>
  <si>
    <t>La liste affichée est strictement conforme (intitulés, nombre d’items, règles, textes d’aide).</t>
  </si>
  <si>
    <t>Vérifier que les fichiers sont contrôlés (format, antivirus), protégés (chiffrement transit/repos) et supprimés selon la politique de conservation.</t>
  </si>
  <si>
    <t>Environnement de test disponible (web/app), comptes de test autorisés, accès aux logs applicatifs.
Accès lecture aux logs/BDD (ou observabilité) pour vérifier les données persistées.
• Politique RGPD (durée, suppression sur demande) et mécanismes de sécurité (AV, chiffrement) disponibles/observables.</t>
  </si>
  <si>
    <t>1. Uploader un fichier interdit (ex. .exe) et vérifier le refus.
2. Uploader un fichier contenant une signature « suspecte » (ou simuler un retour AV) et vérifier le blocage.
3. Vérifier que l’upload se fait en HTTPS/TLS.
4. Vérifier (via logs/stockage) que le fichier est chiffré au repos.
5. Déclencher une suppression (fin de conservation ou demande utilisateur) et vérifier disparition du fichier + métadonnées.</t>
  </si>
  <si>
    <t>Fichier_invalide.exe
Fichier_test_av.pdf (jeu de test AV ou simulation)
Demande suppression (user request)</t>
  </si>
  <si>
    <t>• Les formats non autorisés/AV KO sont bloqués.
• Chiffrement en transit et au repos effectif.
• Suppression conforme à la politique (fichier + références) avec traçabilité.</t>
  </si>
  <si>
    <t>Valider les messages, la possibilité de relancer et la gestion des tentatives lors d’un échec d’upload.</t>
  </si>
  <si>
    <t>1. Démarrer l’upload d’un fichier conforme.
2. Simuler une perte de connexion en cours d’upload.
3. Observer le message et l’état (échec, reprise, bouton relancer).
4. Uploader un fichier au format non autorisé.
5. Uploader un fichier &gt; taille max.
6. Vérifier le comportement (refus, message, nombre de tentatives).</t>
  </si>
  <si>
    <t>Fichier_valide.pdf
Fichier_invalide.exe
Fichier_trop_gros.pdf
Simulation réseau OFF</t>
  </si>
  <si>
    <t>• En cas d’échec réseau : message clair + possibilité de relancer sans bloquer l’utilisateur.
• Formats/taille non autorisés : refus immédiat + message actionnable.
• L’application respecte la politique de tentatives (limite, backoff).</t>
  </si>
  <si>
    <t>Vérifier le parcours 2FA V1 : enrôlement, envoi du code, validation, expiration et nombre d’essais.</t>
  </si>
  <si>
    <t>Environnement de test disponible (web/app), comptes de test autorisés, accès aux logs applicatifs.
• Canal 2FA V1 configuré (SMS/email/TOTP) et règles (expiration, essais) connues.</t>
  </si>
  <si>
    <t>1. Se connecter avec un utilisateur éligible.
2. Activer 2FA depuis les paramètres.
3. Déclencher l’envoi de code.
4. Saisir un code valide dans le délai.
5. Déclencher un nouveau code et laisser expirer.
6. Tester plusieurs codes invalides jusqu’à atteindre la limite d’essais.</t>
  </si>
  <si>
    <t>Canal: SMS/email/TOTP
Code_valide=&lt;reçu&gt;
Code_invalide=000000</t>
  </si>
  <si>
    <t>• Code valide dans le délai : 2FA activée/connexion validée.
• Code expiré : refus + possibilité de regénérer.
• Après X essais invalides : blocage/rate-limit selon politique.</t>
  </si>
  <si>
    <t>Valider la règle combinée biométrie/2FA : la biométrie peut déverrouiller, mais 2FA est exigée pour les actions sensibles (si défini).</t>
  </si>
  <si>
    <t>Environnement de test disponible (web/app), comptes de test autorisés, accès aux logs applicatifs.
• Règles V1 confirmées (biométrie remplace ou complète 2FA ; liste d’actions sensibles).</t>
  </si>
  <si>
    <t>1. Activer biométrie et 2FA sur un compte.
2. Se déconnecter puis se reconnecter via biométrie.
3. Exécuter une action sensible (ex. changement MDP, modification données, export relevés).
4. Vérifier si un challenge 2FA est demandé.
5. Vérifier qu’après succès 2FA, les informations attendues sont transmises à SECU (token/device/timestamp) sans données sensibles en clair.</t>
  </si>
  <si>
    <t>Compte avec biométrie+2FA
Action sensible (selon V1)</t>
  </si>
  <si>
    <t>• Le comportement suit la règle V1 (2FA requise ou non) et est cohérent.
• Les données envoyées à SECU sont complètes et ne contiennent pas de MDP/code en clair.
• Les échecs 2FA bloquent l’action sensible.</t>
  </si>
  <si>
    <t>Contrôler que les appels d’authentification respectent le contrat (méthode HTTP, payload) et n’exposent aucun secret en URL.</t>
  </si>
  <si>
    <t>Environnement de test + outil d'appel API (Postman/Insomnia) + identifiants/clefs valides.
• Spécification API (GET/POST, schéma JSON) disponible.</t>
  </si>
  <si>
    <t>1. Appeler l’endpoint d’authentification avec la méthode attendue (ex. POST) et un payload conforme.
2. Vérifier la réponse (token, codes d’erreur).
3. Tenter un appel en GET avec paramètres sensibles (login/MDP) et vérifier qu’il est refusé.
4. Vérifier dans les logs/proxy que l’URL ne contient aucun secret (querystring).</t>
  </si>
  <si>
    <t>Payload JSON : {login, motDePasse, …}
Appel GET avec ?password=… (test)</t>
  </si>
  <si>
    <t>• Appel conforme accepté ; secrets uniquement dans le body sécurisé.
• Appel non conforme (GET/secret en URL) refusé (4xx) et journalisé sans exposer le secret.</t>
  </si>
  <si>
    <t>Vérifier quand la biométrie est proposée et qu’elle respecte la règle V1 (et l’opt-in utilisateur).</t>
  </si>
  <si>
    <t>Environnement de test disponible (web/app), comptes de test autorisés, accès aux logs applicatifs.
• Plateforme cible (iOS/Android) disponible.
• Règle V1 sur le moment de proposition confirmée.</t>
  </si>
  <si>
    <t>1. Se connecter avec identifiants (sans biométrie configurée).
2. Observer si la proposition biométrie apparaît (et à quel moment).
3. Accepter l’activation biométrie.
4. Se déconnecter puis se reconnecter et vérifier le comportement (biométrie proposée/automatique).
5. Tester un déverrouillage de session (si applicable).</t>
  </si>
  <si>
    <t>Mobile iOS/Android ; user_A</t>
  </si>
  <si>
    <t>La proposition biométrie apparaît uniquement aux moments prévus par la règle V1 ; l’utilisateur garde le contrôle (opt-in/opt-out).</t>
  </si>
  <si>
    <t>Valider le fallback (MDP + 2FA) et la gestion des échecs biométrie, ainsi que la compatibilité plateformes cibles.</t>
  </si>
  <si>
    <t>Environnement de test disponible (web/app), comptes de test autorisés, accès aux logs applicatifs.
• Plateformes/OS cibles confirmés (iOS/Android…).
• 2FA activée sur le compte.</t>
  </si>
  <si>
    <t>1. Activer biométrie sur un appareil supporté.
2. Provoquer un échec biométrie (mauvaise empreinte/visage) jusqu’au seuil X.
3. Vérifier le fallback (saisie MDP puis 2FA si exigée).
4. Désactiver la biométrie au niveau OS (ou la rendre indisponible) et vérifier le parcours.
5. Répéter sur chaque plateforme/OS cible.</t>
  </si>
  <si>
    <t>Seuil X d’échecs (selon OS/politique)
Compte user_A avec 2FA</t>
  </si>
  <si>
    <t>• Après X échecs/indisponibilité : fallback appliqué sans bloquer indûment.
• Le fallback respecte la règle de sécurité (MDP + 2FA si requis).
• Fonctionnement conforme sur les plateformes/OS cibles.</t>
  </si>
  <si>
    <t>Valider les messages utilisateur, les tentatives de retry et la journalisation en cas d’erreurs interconnexion, y compris banque non supportée.</t>
  </si>
  <si>
    <t>1. Déclencher un rafraîchissement en simulant un timeout (banque ne répond pas).
2. Simuler une réponse erreur (ex. 500/503) et observer le comportement.
3. Vérifier le nombre de tentatives/retry (et délai) selon règle.
4. Tenter d’ajouter/ sélectionner une banque non supportée.
5. Vérifier le message et l’absence de connexion créée.
6. Vérifier la journalisation des erreurs sans données sensibles.</t>
  </si>
  <si>
    <t>Simulation erreurs (proxy/mocks)
Banque non supportée : 'Banque X'</t>
  </si>
  <si>
    <t>• Erreurs gérées : message clair, pas de crash, retry conforme.
• Banque non supportée : parcours bloqué/indisponible + message.
• Les erreurs sont journalisées de façon exploitable et sans exposition de secrets.</t>
  </si>
  <si>
    <t>Vérifier que le rafraîchissement récupère les données bancaires et que la fréquence/horodatage de mise à jour est conforme (affichage “dernière maj”).</t>
  </si>
  <si>
    <t>Environnement de test disponible (web/app), comptes de test autorisés, accès aux logs applicatifs.
• Au moins 1 banque supportée est connectée.
• Règle de fréquence de mise à jour connue (ex. 1/jour, x/jour).</t>
  </si>
  <si>
    <t>1. Ouvrir la page de synthèse des comptes connectés.
2. Noter l’horodatage “dernière maj” (si présent).
3. Déclencher un rafraîchissement.
4. Vérifier la mise à jour des soldes/transactions.
5. Redéclencher des rafraîchissements à des intervalles &lt; fréquence autorisée et vérifier le comportement (réutilisation cache / refus / rate-limit).</t>
  </si>
  <si>
    <t>Banque supportée (ex. Banque A)
Comptes avec transactions</t>
  </si>
  <si>
    <t>• Données mises à jour conformément à la fréquence attendue.
• L’UI affiche un horodatage cohérent et un état (loader) pendant le refresh.
• Les rafraîchissements trop fréquents sont gérés proprement (message, backoff, pas d’erreur).</t>
  </si>
  <si>
    <t>Vérifier l’obtention du consentement et le stockage/usage des jetons selon le standard retenu (OAuth2/PSD2).</t>
  </si>
  <si>
    <t>Environnement de test disponible (web/app), comptes de test autorisés, accès aux logs applicatifs.
Accès lecture aux logs/BDD (ou observabilité) pour vérifier les données persistées.
• Parcours de consentement activé et banque sandbox disponible.</t>
  </si>
  <si>
    <t>1. Démarrer la connexion d’une banque.
2. Suivre le parcours d’autorisation (redirect/consent).
3. Confirmer l’accès et revenir à l’application.
4. Vérifier que la banque est connectée et que les données sont récupérées.
5. Vérifier en logs/BDD la présence d’un identifiant de consentement/jeton (sans secret en clair).</t>
  </si>
  <si>
    <t>Banque sandbox OAuth
Utilisateur test</t>
  </si>
  <si>
    <t>• Consentement obtenu via le standard prévu.
• Jetons/consentements stockés de manière sécurisée (pas en clair).
• La connexion fonctionne immédiatement après consentement.</t>
  </si>
  <si>
    <t>Vérifier le comportement à l’expiration du consentement et la capacité de renouveler/révoquer proprement.</t>
  </si>
  <si>
    <t>Environnement de test disponible (web/app), comptes de test autorisés, accès aux logs applicatifs.
• Durée de consentement connue et/ou possibilité de simuler une expiration.</t>
  </si>
  <si>
    <t>1. Connecter une banque (consentement OK).
2. Simuler l’expiration du consentement (ou attendre).
3. Déclencher un rafraîchissement.
4. Vérifier que l’application déclenche un renouvellement (re-consent) ou affiche un message.
5. Révoquer le consentement (si option) et vérifier la déconnexion et l’arrêt des appels.</t>
  </si>
  <si>
    <t>Consentement expiré (simulation)
Option révocation</t>
  </si>
  <si>
    <t>• À expiration : pas d’appels silencieux en échec ; UX guidée (renouveler).
• Après renouvellement : données à nouveau accessibles.
• Après révocation : banque déconnectée, plus d’accès, traçabilité.</t>
  </si>
  <si>
    <t>Vérifier que les appels API utilisent TLS et le mécanisme d’authentification prévu (API key/OAuth) et gèrent les erreurs d’auth.</t>
  </si>
  <si>
    <t>Environnement de test + outil d'appel API (Postman/Insomnia) + identifiants/clefs valides.</t>
  </si>
  <si>
    <t>1. Appeler l’API avec en-têtes/auth valides.
2. Vérifier réponse 2xx et contenu.
3. Retirer/altérer l’authentification (clé manquante/jeton expiré).
4. Vérifier la réponse (401/403) et le message côté application.
5. Vérifier que les appels non-TLS sont refusés (si testable).</t>
  </si>
  <si>
    <t>Headers valides / invalides
Token expiré</t>
  </si>
  <si>
    <t>• Appels valides acceptés.
• Appels invalides refusés avec codes standards.
• UX: message clair, pas de fuite d’infos.
• TLS obligatoire.</t>
  </si>
  <si>
    <t>Contrôler que les objets interconnexion (banques, comptes, consentements, statuts) sont persistés avec les champs obligatoires et les durées de conservation configurées.</t>
  </si>
  <si>
    <t>Environnement de test disponible (web/app), comptes de test autorisés, accès aux logs applicatifs.
Accès lecture aux logs/BDD (ou observabilité) pour vérifier les données persistées.
• Modèle de données attendu (tables/champs obligatoires) disponible.</t>
  </si>
  <si>
    <t>1. Connecter une banque et synchroniser des données.
2. Vérifier en BDD la création des enregistrements attendus (banque, compte, statut, consentement).
3. Vérifier la présence des champs obligatoires et l’absence de champs interdits.
4. Vérifier la présence d’un mécanisme/flag de conservation (date d’expiration/TTL) si applicable.</t>
  </si>
  <si>
    <t>Connexion Banque A
Synchronisation données</t>
  </si>
  <si>
    <t>• Tous les objets attendus sont créés.
• Champs obligatoires renseignés ; cohérence référentielle.
• Les règles de conservation sont traçables (dates/TTL) selon spécification.</t>
  </si>
  <si>
    <t>Vérifier que le lien de dépendance et le ticket parent sont corrects (cohérence de périmètre).</t>
  </si>
  <si>
    <t>Accès au projet Jira et aux epics/tickets TOM concernés.</t>
  </si>
  <si>
    <t>1. Ouvrir l’epic/ticket TOM10 dans Jira.
2. Vérifier le ticket parent référencé.
3. Vérifier les liens de dépendance (blocked by/depends on) et leur TOM associé.
4. Signaler toute incohérence (ex. parent TOM09 biométrie) et proposer correction.</t>
  </si>
  <si>
    <t>Tickets Jira TOM10 / TOM02 / TOM09</t>
  </si>
  <si>
    <t>Les liens Jira (parent/dépendances) sont cohérents avec le périmètre (interconnexion) et corrigés en cas d’écart.</t>
  </si>
  <si>
    <t>Valider la limitation de fréquence et son périmètre (par utilisateur/device/global).</t>
  </si>
  <si>
    <t>Environnement de test + outil d'appel API (Postman/Insomnia) + identifiants/clefs valides.
• Règle de rate-limit confirmée (périmètre + fenêtre).</t>
  </si>
  <si>
    <t>1. Exécuter une requête cible (endpoint concerné) avec user_A.
2. Répéter immédiatement la même requête depuis la même session.
3. Répéter depuis un autre device/session (si applicable).
4. Observer les codes de réponse (429/4xx) et les en-têtes de rate-limit.
5. Vérifier la remise à zéro après la fenêtre (5 min).</t>
  </si>
  <si>
    <t>Endpoint cible
user_A, user_B
Device A/B</t>
  </si>
  <si>
    <t>• Les requêtes au-delà de la limite sont refusées proprement (429 ou équivalent) avec indication de retry.
• Le périmètre appliqué correspond à la règle V1.
• Aucun impact inattendu sur d’autres utilisateurs.</t>
  </si>
  <si>
    <t>Vérifier le comportement lorsque certaines banques ne renvoient pas de données : message, affichage partiel, fallback.</t>
  </si>
  <si>
    <t>Environnement de test disponible (web/app), comptes de test autorisés, accès aux logs applicatifs.
• Au moins 2 banques connectées (Banque A OK, Banque B simulée en erreur).</t>
  </si>
  <si>
    <t>1. Connecter Banque A et Banque B.
2. Simuler une absence de données pour Banque B.
3. Ouvrir la synthèse.
4. Vérifier le message d’avertissement et l’affichage (solde partiel / dernier solde connu) selon règle.
5. Déclencher un rafraîchissement et vérifier la persistance du message et la traçabilité.</t>
  </si>
  <si>
    <t>Banque A : OK
Banque B : timeout/erreur</t>
  </si>
  <si>
    <t>• L’utilisateur est informé clairement des données manquantes.
• L’application applique la règle de fallback attendue sans présenter de données trompeuses.
• Les erreurs sont traçables.</t>
  </si>
  <si>
    <t>Vérifier la visibilité du bouton, son accessibilité sans scroll excessif, et les états UI (loader, dernière maj).</t>
  </si>
  <si>
    <t>1. Ouvrir la page contenant le bouton « Rafraîchir ».
2. Vérifier sa visibilité sur différents formats (mobile/desktop) sans scroller.
3. Cliquer sur « Rafraîchir ».
4. Vérifier l’apparition d’un loader, la désactivation du bouton pendant l’action, puis l’horodatage “dernière maj”.</t>
  </si>
  <si>
    <t>Résolutions: mobile/desktop</t>
  </si>
  <si>
    <t>• Bouton accessible (conforme UX) ; pas de parcours bloquant.
• États loader et “dernière maj” cohérents.
• Pas de double-submit.</t>
  </si>
  <si>
    <t xml:space="preserve">Vérifier l’ordre d’affichage des blocs banques et la gestion du cas « aucune banque connectée ». </t>
  </si>
  <si>
    <t>Environnement de test disponible (web/app), comptes de test autorisés, accès aux logs applicatifs.
• Règle d’ordre confirmée (alpha, banque principale, dernier usage…).</t>
  </si>
  <si>
    <t>1. Ouvrir la page des banques avec 3 banques connectées.
2. Vérifier l’ordre affiché.
3. Déconnecter toutes les banques.
4. Revenir à l’écran et vérifier le message/CTA (ex. « Connecter une banque »).</t>
  </si>
  <si>
    <t>Banques A/B/C
Cas 0 banque</t>
  </si>
  <si>
    <t>• Ordre conforme à la règle.
• Cas 0 banque : message clair + action possible ; aucun écran vide/confus.</t>
  </si>
  <si>
    <t>Valider l’appel vers l’endpoint relevés (URL, méthode, params) et la gestion d’erreurs (4xx/5xx).</t>
  </si>
  <si>
    <t>Environnement de test + outil d'appel API (Postman/Insomnia) + identifiants/clefs valides.
• Spécification endpoint relevés confirmée.</t>
  </si>
  <si>
    <t>1. Appeler l’endpoint relevés avec paramètres valides (période, banque, format).
2. Vérifier la réponse (fichier/URL) et les en-têtes.
3. Appeler avec paramètres invalides (période trop large, banque inconnue).
4. Vérifier codes d’erreur et messages côté application.</t>
  </si>
  <si>
    <t>Params valides/invalides</t>
  </si>
  <si>
    <t>• Appel valide : relevé généré/téléchargé sans erreur.
• Appel invalide : erreur claire, pas de fichier partiel/corrompu.</t>
  </si>
  <si>
    <t>Vérifier que l’application applique les limites d’export (période maximale, nb téléchargements/jour) et informe l’utilisateur.</t>
  </si>
  <si>
    <t>Environnement de test disponible (web/app), comptes de test autorisés, accès aux logs applicatifs.
• Limites V1 confirmées.</t>
  </si>
  <si>
    <t>1. Demander un export sur une période autorisée.
2. Vérifier succès.
3. Demander un export au-delà de la période max.
4. Vérifier refus + message.
5. Répéter des exports jusqu’au quota journalier (si applicable) et vérifier le blocage.</t>
  </si>
  <si>
    <t>Période_ok
Période_trop_large
Quota_journalier</t>
  </si>
  <si>
    <t>• Périodes/quotas respectés.
• Refus: message actionnable (réduire période/attendre).
• Pas de surcharge serveur (pas de génération lancée si refus).</t>
  </si>
  <si>
    <t>Vérifier l’uniformisation du libellé sur l’ensemble de l’application.</t>
  </si>
  <si>
    <t>1. Parcourir les écrans où le téléchargement de relevés est accessible.
2. Vérifier le libellé exact du bouton/CTA.
3. Vérifier l’absence de variations (singulier/pluriel) et cohérence d’orthographe.</t>
  </si>
  <si>
    <t>Écrans: synthèse, détail banque, export</t>
  </si>
  <si>
    <t>Le libellé est identique partout : « Télécharger mes relevés de comptes » (selon standard défini).</t>
  </si>
  <si>
    <t>Contrôler les formats proposés et la présence du contenu minimum attendu sur chaque relevé.</t>
  </si>
  <si>
    <t>Environnement de test disponible (web/app), comptes de test autorisés, accès aux logs applicatifs.
• Spécification du contenu minimum relevé (entête, compte, période, opérations, totals) disponible.</t>
  </si>
  <si>
    <t>1. Générer un relevé au format PDF.
2. Vérifier le contenu minimum (identité banque, compte, période, liste opérations, totaux, mentions légales).
3. Si CSV/autre est proposé : générer et vérifier structure (colonnes, encodage, séparateur).
4. Vérifier la cohérence avec les données affichées dans l’application.</t>
  </si>
  <si>
    <t>PDF
CSV (si disponible)</t>
  </si>
  <si>
    <t>• Formats disponibles conformes à la règle.
• Contenu minimum présent et exact.
• Cohérence entre export et affichage.</t>
  </si>
  <si>
    <t>Vérifier le comportement quand le service renvoie 1 PDF par banque : mode de téléchargement (ZIP, sélection, séquentiel) et UX associée.</t>
  </si>
  <si>
    <t>Environnement de test disponible (web/app), comptes de test autorisés, accès aux logs applicatifs.
• Au moins 2 banques connectées et export multi-banques supporté.</t>
  </si>
  <si>
    <t>1. Demander un export couvrant 2 banques.
2. Observer le résultat : fichier ZIP / sélection banque / téléchargements successifs.
3. Vérifier le message utilisateur et la gestion des erreurs partielles (1 banque OK, 1 KO).
4. Vérifier l’intégrité des fichiers téléchargés.</t>
  </si>
  <si>
    <t>Banque A + Banque B
Période_ok</t>
  </si>
  <si>
    <t>• Le mode de téléchargement correspond à la règle V1.
• Les fichiers sont intègres.
• En cas d’erreur partielle : message clair + possibilité de relancer.</t>
  </si>
  <si>
    <t>Vérifier la volumétrie maximale affichée/chargée et la stratégie (pagination vs scroll) sans dégradation majeure.</t>
  </si>
  <si>
    <t>Environnement de test disponible (web/app), comptes de test autorisés, accès aux logs applicatifs.
• Règle de volumétrie confirmée (N transactions) et stratégie (pagination/scroll).</t>
  </si>
  <si>
    <t>1. Ouvrir l’écran de consultation des transactions.
2. Charger la liste jusqu’à atteindre N transactions (scroll/pagination).
3. Mesurer le temps de chargement et vérifier l’absence de freeze.
4. Vérifier que la liste n’excède pas N (ou qu’une pagination s’applique).
5. Vérifier la cohérence des données lors de navigation aller/retour.</t>
  </si>
  <si>
    <t>Compte avec &gt;N transactions (jeu de données volumineux)</t>
  </si>
  <si>
    <t>• Chargement conforme à la stratégie.
• La liste respecte N (ou pagination) et reste utilisable.
• Pas de doublons/perte d’éléments lors du scroll/pagination.</t>
  </si>
  <si>
    <t>Valider les filtres/tri requis et le comportement par défaut de l’historique.</t>
  </si>
  <si>
    <t>Environnement de test disponible (web/app), comptes de test autorisés, accès aux logs applicatifs.
• Liste des filtres/tri requis confirmée + valeur par défaut attendue.</t>
  </si>
  <si>
    <t>1. Ouvrir la consultation transactions.
2. Vérifier l’état par défaut (période/historique affiché).
3. Appliquer un filtre date (intervalle) et vérifier la liste.
4. Appliquer un filtre montant (&gt;= / &lt;=) et vérifier.
5. Filtrer par banque puis par catégorie.
6. Appliquer un tri (date desc/asc, montant) et vérifier la stabilité.
7. Réinitialiser filtres/tri.</t>
  </si>
  <si>
    <t>Jeu de transactions multi-banques et multi-catégories</t>
  </si>
  <si>
    <t>• Chaque filtre restreint correctement la liste.
• Les tris ordonnent correctement sans incohérences.
• L’état par défaut correspond à la règle.
• Réinitialisation restaure l’état initial.</t>
  </si>
  <si>
    <t>Vérifier que les dernières transactions ne sont pas stockées en BDD (ni cache persistant) et que le repli/dépli ne dégrade pas les performances.</t>
  </si>
  <si>
    <t>Environnement de test disponible (web/app), comptes de test autorisés, accès aux logs applicatifs.
Accès lecture aux logs/BDD (ou observabilité) pour vérifier les données persistées.
• Règle “zéro stockage” confirmée (ce qui est autorisé : cache mémoire temporaire).</t>
  </si>
  <si>
    <t>1. Ouvrir l’écran affichant les dernières transactions.
2. Observer les appels réseau lors de l’affichage.
3. Replier/déplier le widget plusieurs fois.
4. Vérifier que le comportement est conforme (réutilisation mémoire vs refetch) selon règle.
5. Vérifier en BDD/logs qu’aucune transaction n’est persistée.
6. Vérifier qu’aucune donnée n’est écrite en stockage local persistant (LocalStorage/Cache).</t>
  </si>
  <si>
    <t>Compte avec transactions</t>
  </si>
  <si>
    <t>• Aucune persistance en BDD/cache persistant.
• Perf acceptable lors des repli/dépli (pas d’explosion d’appels).
• Le comportement (refetch vs cache mémoire) suit la règle V1.</t>
  </si>
  <si>
    <t>Valider le nombre de transactions affichées par banque et la pagination éventuelle sur le composant « dernières transactions ».</t>
  </si>
  <si>
    <t>Environnement de test disponible (web/app), comptes de test autorisés, accès aux logs applicatifs.
• N (10/50/100) et présence pagination confirmés.</t>
  </si>
  <si>
    <t>1. Ouvrir le composant « dernières transactions » pour une banque.
2. Compter le nombre d’éléments affichés.
3. Si pagination : naviguer pages suivantes et vérifier la continuité.
4. Vérifier la cohérence avec le total et l’absence de doublons.</t>
  </si>
  <si>
    <t>Banque avec &gt;N transactions</t>
  </si>
  <si>
    <t>• Nombre affiché conforme.
• Pagination (si présente) fonctionne et garde la cohérence.
• UX correcte (loader, fin de liste).</t>
  </si>
  <si>
    <t>Vérifier la liste des catégories (« types de dépense ») et la source de catégorisation (banque vs interne), ainsi que la cohérence des mappings.</t>
  </si>
  <si>
    <t>Environnement de test disponible (web/app), comptes de test autorisés, accès aux logs applicatifs.
Accès lecture aux logs/BDD (ou observabilité) pour vérifier les données persistées.
• Liste de catégories attendue + règles de mapping connues.</t>
  </si>
  <si>
    <t>1. Importer/afficher un jeu de transactions multi-catégories.
2. Vérifier l’affectation d’une catégorie à chaque transaction.
3. Vérifier que la catégorie appartient à la liste autorisée (pas de valeurs libres non prévues).
4. Si la banque fournit une catégorie : vérifier la transformation/mapping.
5. Vérifier en BDD/logs la valeur stockée (id/label) et sa stabilité.</t>
  </si>
  <si>
    <t>Transactions avec catégories diverses (alimentation, transport, etc.)</t>
  </si>
  <si>
    <t>• Les catégories utilisées correspondent à la liste prévue.
• Les mappings sont cohérents et reproductibles.
• Les valeurs persistées sont stables (id/label).</t>
  </si>
  <si>
    <t>Vérifier que la sélection de période suit la définition retenue et que l’UI l’exprime clairement.</t>
  </si>
  <si>
    <t>Environnement de test disponible (web/app), comptes de test autorisés, accès aux logs applicatifs.
• Définition de la période confirmée (mois calendaire / glissant / date-à-date).</t>
  </si>
  <si>
    <t>1. Ouvrir l’écran de suivi des dépenses.
2. Sélectionner une période (ex. Janvier).
3. Vérifier les dates de début/fin appliquées.
4. Comparer avec la définition attendue.
5. Tester un changement de période et vérifier mise à jour.</t>
  </si>
  <si>
    <t>Exemples de périodes: mois courant, mois précédent, intervalle custom</t>
  </si>
  <si>
    <t>• Les dates appliquées correspondent exactement à la définition.
• L’utilisateur comprend la période sélectionnée (libellés clairs).
• La mise à jour des résultats est correcte.</t>
  </si>
  <si>
    <t>Valider les règles de calcul du camembert : inclusion/exclusion des crédits, gestion remboursements/annulations et cohérence des totaux.</t>
  </si>
  <si>
    <t>Environnement de test disponible (web/app), comptes de test autorisés, accès aux logs applicatifs.
Accès lecture aux logs/BDD (ou observabilité) pour vérifier les données persistées.
• Règles de calcul confirmées (débits uniquement ? crédits ? traitement refunds).</t>
  </si>
  <si>
    <t>1. Charger un jeu de transactions incluant : débits, crédits, remboursement, annulation.
2. Afficher le camembert de consommation.
3. Vérifier quelles opérations sont incluses/exclues.
4. Vérifier que les montants par catégorie et le total correspondent aux règles.
5. Vérifier la cohérence avec la liste de transactions filtrée sur la même période.</t>
  </si>
  <si>
    <t>Jeu de données :
• Débit 100€ (cat A)
• Crédit 50€
• Remboursement -20€
• Annulation</t>
  </si>
  <si>
    <t>• Inclusion/exclusion conforme.
• Totaux cohérents (camembert = somme des opérations retenues).
• Remboursements/annulations traités selon règle sans incohérence.</t>
  </si>
  <si>
    <t>Vérifier le sélecteur de période (date unique/intervalle) et la valeur par défaut (ex. mois courant).</t>
  </si>
  <si>
    <t>Environnement de test disponible (web/app), comptes de test autorisés, accès aux logs applicatifs.
• Comportement attendu confirmé.</t>
  </si>
  <si>
    <t>1. Ouvrir l’écran du camembert.
2. Vérifier la période par défaut.
3. Modifier la période via le sélecteur.
4. Vérifier que l’UI reflète le choix et que les données se recalculent.
5. Tester des bornes invalides (fin &lt; début) si intervalle.</t>
  </si>
  <si>
    <t>Période par défaut
Intervalle custom (si dispo)</t>
  </si>
  <si>
    <t>• Défaut conforme.
• Changement de période recalculé correctement.
• Valeurs invalides refusées avec message.</t>
  </si>
  <si>
    <t>Vérifier que le nom et le périmètre du TOM14 sont cohérents (titre vs contenu) dans les supports de référence.</t>
  </si>
  <si>
    <t>1. Ouvrir la documentation/epic TOM14.
2. Comparer le titre affiché avec le contenu (camembert suivi conso).
3. Identifier les incohérences (ex. titre « Interconnexions »).
4. Proposer la correction (renommage + description) et consigner l’écart.</t>
  </si>
  <si>
    <t>Docs/epic TOM14</t>
  </si>
  <si>
    <t>Titre et périmètre du TOM14 corrigés/alignés sur le contenu réel (suivi conso camembert).</t>
  </si>
  <si>
    <t>Vérifier les points d’entrée d’aide utilisateur et leur contenu selon le périmètre V1.</t>
  </si>
  <si>
    <t>Environnement de test disponible (web/app), comptes de test autorisés, accès aux logs applicatifs.
• Périmètre V1 confirmé (FAQ, contact, conseiller virtuel…).</t>
  </si>
  <si>
    <t>1. Ouvrir les écrans principaux (dashboard, transactions, paramètres).
2. Identifier les accès à l’aide (icône ?, menu, footer).
3. Vérifier que les liens ouvrent la bonne section (FAQ, contact, assistant).
4. Vérifier le comportement hors connexion (si applicable).</t>
  </si>
  <si>
    <t>Parcours multi-écrans</t>
  </si>
  <si>
    <t>Les accès à l’aide sont disponibles et cohérents avec le périmètre V1 ; les contenus/CTA sont corrects.</t>
  </si>
  <si>
    <t>Valider les recommandations délivrées par l’assistant (types, contexte) et le fait que la conversation redirige vers la prise de RDV si prévu.</t>
  </si>
  <si>
    <t>Environnement de test disponible (web/app), comptes de test autorisés, accès aux logs applicatifs.
• Catalogue de recommandations V1 confirmé (budget, épargne, opérations inhabituelles…).</t>
  </si>
  <si>
    <t>1. Ouvrir le conseiller virtuel.
2. Déclencher un scénario de recommandation (ex. dépassement budget simulé).
3. Vérifier le contenu du message (clair, actionnable) et les choix proposés.
4. Déclencher un cas nécessitant RDV (selon règle).
5. Vérifier la redirection vers la page/flow de RDV (pas de “chat” non prévu).</t>
  </si>
  <si>
    <t>Scénario budget dépassé
Scénario RDV (ex. besoin conseiller)</t>
  </si>
  <si>
    <t>• Recommandations conformes au catalogue V1.
• UI conforme (assistant standard vs contextuel) selon décision.
• Redirection RDV fonctionne lorsque prévu.</t>
  </si>
  <si>
    <t>Vérifier l’intégration vers la prise de rendez-vous (URL/service) et les données passées (contexte, utilisateur) conformément à la spécification.</t>
  </si>
  <si>
    <t>Environnement de test disponible (web/app), comptes de test autorisés, accès aux logs applicatifs.
• URL/service RDV disponible et spécification des champs transmise confirmée.</t>
  </si>
  <si>
    <t>1. Depuis le conseiller virtuel, déclencher la redirection vers RDV.
2. Vérifier l’ouverture de l’URL/page RDV.
3. Vérifier les données pré-remplies transmises (si prévu) : identifiant utilisateur, motif, contexte.
4. Vérifier les erreurs (service indisponible) et le message de fallback.
5. Vérifier qu’aucune donnée sensible n’est transmise en clair dans l’URL.</t>
  </si>
  <si>
    <t>Motif RDV=« Besoin d’aide »
Context=budget/banque
UserId</t>
  </si>
  <si>
    <t>• Redirection RDV réussie.
• Données transmises conformes (et minimisées).
• En cas d’échec : message clair + alternative.
• Pas de secrets en URL.</t>
  </si>
  <si>
    <t>Visualisations — QA (TOMSEN)</t>
  </si>
  <si>
    <t>Palette: Critique=rouge • Élevée=orange • Moyenne=jaune • Faible=vert • Informative=bleu</t>
  </si>
  <si>
    <t>Catégorie</t>
  </si>
  <si>
    <t>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</si>
</sst>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Calibri"/>
    </font>
    <font>
      <b/>
      <sz val="16"/>
      <color rgb="FF1F4E79"/>
      <name val="Calibri"/>
    </font>
    <font>
      <i/>
      <sz val="11"/>
      <color rgb="FF404040"/>
      <name val="Calibri"/>
    </font>
    <font>
      <sz val="11"/>
      <color theme="1"/>
      <name val="Calibri"/>
      <family val="2"/>
      <scheme val="minor"/>
    </font>
    <font>
      <sz val="11"/>
      <color rgb="FF9C5700"/>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sz val="11"/>
      <color theme="0"/>
      <name val="Calibri"/>
      <family val="2"/>
      <scheme val="minor"/>
    </font>
    <font>
      <sz val="8"/>
      <name val="Calibri"/>
      <family val="2"/>
      <scheme val="minor"/>
    </font>
    <font>
      <sz val="12"/>
      <color theme="1"/>
      <name val="Bahnschrift SemiLight"/>
      <family val="2"/>
    </font>
    <font>
      <sz val="12"/>
      <color rgb="FF9C5700"/>
      <name val="Bahnschrift SemiLight"/>
      <family val="2"/>
    </font>
  </fonts>
  <fills count="18">
    <fill>
      <patternFill patternType="none"/>
    </fill>
    <fill>
      <patternFill patternType="gray125"/>
    </fill>
    <fill>
      <patternFill patternType="solid">
        <fgColor rgb="FF1F4E79"/>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gradientFill degree="90">
        <stop position="0">
          <color theme="0"/>
        </stop>
        <stop position="0.5">
          <color theme="4"/>
        </stop>
        <stop position="1">
          <color theme="0"/>
        </stop>
      </gradientFill>
    </fill>
    <fill>
      <patternFill patternType="solid">
        <fgColor rgb="FFFF8585"/>
        <bgColor rgb="FFFF0000"/>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17">
    <xf numFmtId="0" fontId="0" fillId="0" borderId="0"/>
    <xf numFmtId="0" fontId="5" fillId="4" borderId="0" applyNumberFormat="0" applyBorder="0" applyAlignment="0" applyProtection="0"/>
    <xf numFmtId="0" fontId="6" fillId="5" borderId="2" applyNumberFormat="0" applyAlignment="0" applyProtection="0"/>
    <xf numFmtId="0" fontId="7" fillId="0" borderId="3" applyNumberFormat="0" applyFill="0" applyAlignment="0" applyProtection="0"/>
    <xf numFmtId="0" fontId="8" fillId="0" borderId="0" applyNumberFormat="0" applyFill="0" applyBorder="0" applyAlignment="0" applyProtection="0"/>
    <xf numFmtId="0" fontId="4" fillId="6" borderId="4" applyNumberFormat="0" applyFont="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11" fillId="15" borderId="5">
      <alignment vertical="top" wrapText="1"/>
    </xf>
    <xf numFmtId="0" fontId="11" fillId="16" borderId="5">
      <alignment vertical="top" wrapText="1"/>
    </xf>
    <xf numFmtId="0" fontId="11" fillId="17" borderId="5" applyFill="0">
      <alignment vertical="top" wrapText="1"/>
    </xf>
  </cellStyleXfs>
  <cellXfs count="2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1" fillId="2" borderId="0" xfId="0" applyFont="1" applyFill="1" applyAlignment="1">
      <alignment horizontal="center" vertical="center"/>
    </xf>
    <xf numFmtId="0" fontId="0" fillId="0" borderId="0" xfId="0"/>
    <xf numFmtId="0" fontId="2" fillId="0" borderId="0" xfId="0" applyFont="1" applyAlignment="1">
      <alignment horizontal="left" vertical="center"/>
    </xf>
    <xf numFmtId="0" fontId="3" fillId="0" borderId="0" xfId="0" applyFont="1" applyAlignment="1">
      <alignment wrapText="1"/>
    </xf>
    <xf numFmtId="0" fontId="5" fillId="4" borderId="5" xfId="1" applyBorder="1" applyAlignment="1">
      <alignment vertical="top" wrapText="1"/>
    </xf>
    <xf numFmtId="0" fontId="11" fillId="0" borderId="5" xfId="0" applyFont="1" applyBorder="1"/>
    <xf numFmtId="0" fontId="11" fillId="0" borderId="5" xfId="0" applyFont="1" applyBorder="1" applyAlignment="1">
      <alignment vertical="top" wrapText="1"/>
    </xf>
    <xf numFmtId="0" fontId="11" fillId="13" borderId="5" xfId="12" applyFont="1" applyBorder="1" applyAlignment="1">
      <alignment vertical="top" wrapText="1"/>
    </xf>
    <xf numFmtId="0" fontId="11" fillId="8" borderId="5" xfId="7" applyFont="1" applyBorder="1" applyAlignment="1">
      <alignment vertical="top" wrapText="1"/>
    </xf>
    <xf numFmtId="0" fontId="11" fillId="7" borderId="5" xfId="6" applyFont="1" applyBorder="1" applyAlignment="1">
      <alignment vertical="top" wrapText="1"/>
    </xf>
    <xf numFmtId="0" fontId="11" fillId="9" borderId="5" xfId="8" applyFont="1" applyBorder="1" applyAlignment="1">
      <alignment vertical="top" wrapText="1"/>
    </xf>
    <xf numFmtId="0" fontId="11" fillId="14" borderId="5" xfId="13" applyFont="1" applyBorder="1" applyAlignment="1">
      <alignment vertical="top" wrapText="1"/>
    </xf>
    <xf numFmtId="0" fontId="12" fillId="4" borderId="5" xfId="1" applyFont="1" applyBorder="1" applyAlignment="1">
      <alignment vertical="top" wrapText="1"/>
    </xf>
    <xf numFmtId="0" fontId="11" fillId="6" borderId="4" xfId="5" applyFont="1" applyAlignment="1">
      <alignment vertical="top" wrapText="1"/>
    </xf>
    <xf numFmtId="0" fontId="11" fillId="11" borderId="5" xfId="10" applyFont="1" applyBorder="1" applyAlignment="1">
      <alignment vertical="top" wrapText="1"/>
    </xf>
    <xf numFmtId="0" fontId="11" fillId="10" borderId="5" xfId="9" applyFont="1" applyBorder="1" applyAlignment="1">
      <alignment vertical="top" wrapText="1"/>
    </xf>
    <xf numFmtId="0" fontId="4" fillId="12" borderId="5" xfId="11" applyFont="1" applyBorder="1" applyAlignment="1">
      <alignment horizontal="center" vertical="center" wrapText="1"/>
    </xf>
    <xf numFmtId="0" fontId="7" fillId="6" borderId="3" xfId="3" applyFill="1" applyAlignment="1">
      <alignment vertical="top" wrapText="1"/>
    </xf>
    <xf numFmtId="0" fontId="8" fillId="3" borderId="5" xfId="4" applyFill="1" applyBorder="1" applyAlignment="1">
      <alignment vertical="top" wrapText="1"/>
    </xf>
    <xf numFmtId="0" fontId="6" fillId="5" borderId="2" xfId="2" applyFont="1" applyAlignment="1">
      <alignment vertical="top" wrapText="1"/>
    </xf>
  </cellXfs>
  <cellStyles count="17">
    <cellStyle name="20 % - Accent2" xfId="6" builtinId="34"/>
    <cellStyle name="20 % - Accent4" xfId="9" builtinId="42"/>
    <cellStyle name="20 % - Accent6" xfId="12" builtinId="50"/>
    <cellStyle name="40 % - Accent2" xfId="7" builtinId="35"/>
    <cellStyle name="40 % - Accent4" xfId="10" builtinId="43"/>
    <cellStyle name="40 % - Accent6" xfId="13" builtinId="51"/>
    <cellStyle name="60 % - Accent2" xfId="8" builtinId="36"/>
    <cellStyle name="Accent6" xfId="11" builtinId="49"/>
    <cellStyle name="Avertissement" xfId="4" builtinId="11"/>
    <cellStyle name="Calcul" xfId="2" builtinId="22"/>
    <cellStyle name="Cellule liée" xfId="3" builtinId="24"/>
    <cellStyle name="Neutre" xfId="1" builtinId="28"/>
    <cellStyle name="Normal" xfId="0" builtinId="0"/>
    <cellStyle name="Note" xfId="5" builtinId="10"/>
    <cellStyle name="Style 1" xfId="14" xr:uid="{90877983-176C-449C-9D24-4632F4EB59F3}"/>
    <cellStyle name="Style 2" xfId="15" xr:uid="{FB90C082-59AA-431A-81EB-44F5EB4FB1AC}"/>
    <cellStyle name="Style 3" xfId="16" xr:uid="{9D866B65-397B-46ED-9197-F6B48FA24AEA}"/>
  </cellStyles>
  <dxfs count="17">
    <dxf>
      <font>
        <strike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strike val="0"/>
        <outline val="0"/>
        <shadow val="0"/>
        <u val="none"/>
        <vertAlign val="baseline"/>
        <sz val="12"/>
        <name val="Bahnschrift SemiLight"/>
        <family val="2"/>
        <scheme val="none"/>
      </font>
    </dxf>
    <dxf>
      <font>
        <strike val="0"/>
        <outline val="0"/>
        <shadow val="0"/>
        <u val="none"/>
        <vertAlign val="baseline"/>
        <sz val="12"/>
        <name val="Bahnschrift SemiLight"/>
        <family val="2"/>
        <scheme val="none"/>
      </font>
      <border diagonalUp="0" diagonalDown="0" outline="0">
        <left style="thin">
          <color indexed="64"/>
        </left>
        <right style="thin">
          <color indexed="64"/>
        </right>
        <top/>
        <bottom/>
      </border>
    </dxf>
    <dxf>
      <font>
        <strike val="0"/>
        <outline val="0"/>
        <shadow val="0"/>
        <u val="none"/>
        <vertAlign val="baseline"/>
        <sz val="12"/>
        <name val="Bahnschrift SemiLight"/>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12"/>
        <name val="Bahnschrift SemiLight"/>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Bahnschrift SemiLight"/>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Bahnschrift SemiLight"/>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Bahnschrift SemiLight"/>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Bahnschrift SemiLight"/>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Bahnschrift SemiLight"/>
        <family val="2"/>
        <scheme val="none"/>
      </font>
      <border diagonalUp="0" diagonalDown="0" outline="0">
        <left/>
        <right style="thin">
          <color indexed="64"/>
        </right>
        <top style="thin">
          <color indexed="64"/>
        </top>
        <bottom style="thin">
          <color indexed="64"/>
        </bottom>
      </border>
    </dxf>
    <dxf>
      <fill>
        <patternFill>
          <fgColor theme="6" tint="0.59996337778862885"/>
        </patternFill>
      </fill>
    </dxf>
    <dxf>
      <fill>
        <patternFill>
          <bgColor theme="9" tint="0.59996337778862885"/>
        </patternFill>
      </fill>
    </dxf>
    <dxf>
      <fill>
        <patternFill>
          <fgColor theme="5" tint="0.79998168889431442"/>
        </patternFill>
      </fill>
    </dxf>
    <dxf>
      <fill>
        <patternFill>
          <bgColor theme="9" tint="0.59996337778862885"/>
        </patternFill>
      </fill>
    </dxf>
    <dxf>
      <fill>
        <patternFill>
          <fgColor theme="6" tint="0.59996337778862885"/>
        </patternFill>
      </fill>
    </dxf>
    <dxf>
      <fill>
        <patternFill>
          <bgColor theme="9" tint="0.59996337778862885"/>
        </patternFill>
      </fill>
    </dxf>
    <dxf>
      <fill>
        <patternFill>
          <fgColor theme="5" tint="0.59996337778862885"/>
        </patternFill>
      </fill>
    </dxf>
  </dxfs>
  <tableStyles count="0" defaultTableStyle="TableStyleMedium2" defaultPivotStyle="PivotStyleLight16"/>
  <colors>
    <mruColors>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r>
              <a:rPr lang="fr-FR"/>
              <a:t>Répartition des cas par criticité</a:t>
            </a:r>
          </a:p>
        </c:rich>
      </c:tx>
      <c:overlay val="0"/>
    </c:title>
    <c:autoTitleDeleted val="0"/>
    <c:plotArea>
      <c:layout/>
      <c:pieChart>
        <c:varyColors val="1"/>
        <c:ser>
          <c:idx val="0"/>
          <c:order val="0"/>
          <c:tx>
            <c:strRef>
              <c:f>Visualisations!$B$3</c:f>
              <c:strCache>
                <c:ptCount val="1"/>
                <c:pt idx="0">
                  <c:v>Nb</c:v>
                </c:pt>
              </c:strCache>
            </c:strRef>
          </c:tx>
          <c:spPr>
            <a:ln/>
          </c:spPr>
          <c:dPt>
            <c:idx val="0"/>
            <c:bubble3D val="0"/>
            <c:spPr>
              <a:solidFill>
                <a:srgbClr val="D32F2F"/>
              </a:solidFill>
              <a:ln/>
            </c:spPr>
            <c:extLst>
              <c:ext xmlns:c16="http://schemas.microsoft.com/office/drawing/2014/chart" uri="{C3380CC4-5D6E-409C-BE32-E72D297353CC}">
                <c16:uniqueId val="{00000001-4874-4026-8919-CA3DEB899B44}"/>
              </c:ext>
            </c:extLst>
          </c:dPt>
          <c:dPt>
            <c:idx val="1"/>
            <c:bubble3D val="0"/>
            <c:spPr>
              <a:solidFill>
                <a:srgbClr val="F57C00"/>
              </a:solidFill>
              <a:ln/>
            </c:spPr>
            <c:extLst>
              <c:ext xmlns:c16="http://schemas.microsoft.com/office/drawing/2014/chart" uri="{C3380CC4-5D6E-409C-BE32-E72D297353CC}">
                <c16:uniqueId val="{00000003-4874-4026-8919-CA3DEB899B44}"/>
              </c:ext>
            </c:extLst>
          </c:dPt>
          <c:dPt>
            <c:idx val="2"/>
            <c:bubble3D val="0"/>
            <c:spPr>
              <a:solidFill>
                <a:srgbClr val="FBC02D"/>
              </a:solidFill>
              <a:ln/>
            </c:spPr>
            <c:extLst>
              <c:ext xmlns:c16="http://schemas.microsoft.com/office/drawing/2014/chart" uri="{C3380CC4-5D6E-409C-BE32-E72D297353CC}">
                <c16:uniqueId val="{00000005-4874-4026-8919-CA3DEB899B44}"/>
              </c:ext>
            </c:extLst>
          </c:dPt>
          <c:dPt>
            <c:idx val="3"/>
            <c:bubble3D val="0"/>
            <c:spPr>
              <a:solidFill>
                <a:srgbClr val="388E3C"/>
              </a:solidFill>
              <a:ln/>
            </c:spPr>
            <c:extLst>
              <c:ext xmlns:c16="http://schemas.microsoft.com/office/drawing/2014/chart" uri="{C3380CC4-5D6E-409C-BE32-E72D297353CC}">
                <c16:uniqueId val="{00000007-4874-4026-8919-CA3DEB899B44}"/>
              </c:ext>
            </c:extLst>
          </c:dPt>
          <c:dPt>
            <c:idx val="4"/>
            <c:bubble3D val="0"/>
            <c:spPr>
              <a:solidFill>
                <a:srgbClr val="1976D2"/>
              </a:solidFill>
              <a:ln/>
            </c:spPr>
            <c:extLst>
              <c:ext xmlns:c16="http://schemas.microsoft.com/office/drawing/2014/chart" uri="{C3380CC4-5D6E-409C-BE32-E72D297353CC}">
                <c16:uniqueId val="{00000009-4874-4026-8919-CA3DEB899B4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Visualisations!$A$4:$A$8</c:f>
              <c:strCache>
                <c:ptCount val="5"/>
                <c:pt idx="0">
                  <c:v>Critique</c:v>
                </c:pt>
                <c:pt idx="1">
                  <c:v>Élevée</c:v>
                </c:pt>
                <c:pt idx="2">
                  <c:v>Moyenne</c:v>
                </c:pt>
                <c:pt idx="3">
                  <c:v>Faible</c:v>
                </c:pt>
                <c:pt idx="4">
                  <c:v>Informative</c:v>
                </c:pt>
              </c:strCache>
            </c:strRef>
          </c:cat>
          <c:val>
            <c:numRef>
              <c:f>Visualisations!$B$4:$B$8</c:f>
              <c:numCache>
                <c:formatCode>General</c:formatCode>
                <c:ptCount val="5"/>
                <c:pt idx="0">
                  <c:v>16</c:v>
                </c:pt>
                <c:pt idx="1">
                  <c:v>22</c:v>
                </c:pt>
                <c:pt idx="2">
                  <c:v>10</c:v>
                </c:pt>
                <c:pt idx="3">
                  <c:v>0</c:v>
                </c:pt>
                <c:pt idx="4">
                  <c:v>0</c:v>
                </c:pt>
              </c:numCache>
            </c:numRef>
          </c:val>
          <c:extLst>
            <c:ext xmlns:c16="http://schemas.microsoft.com/office/drawing/2014/chart" uri="{C3380CC4-5D6E-409C-BE32-E72D297353CC}">
              <c16:uniqueId val="{0000000A-4874-4026-8919-CA3DEB899B44}"/>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fr-FR"/>
              <a:t>Cas de test par sprint</a:t>
            </a:r>
          </a:p>
        </c:rich>
      </c:tx>
      <c:overlay val="0"/>
      <c:spPr>
        <a:noFill/>
        <a:ln>
          <a:noFill/>
        </a:ln>
        <a:effectLst/>
      </c:spPr>
      <c:txPr>
        <a:bodyPr rot="0" spcFirstLastPara="1" vertOverflow="ellipsis" vert="horz" wrap="square" anchor="ctr" anchorCtr="1"/>
        <a:lstStyle/>
        <a:p>
          <a:pPr/>
          <a:endParaRPr lang="fr-FR"/>
        </a:p>
      </c:txPr>
    </c:title>
    <c:autoTitleDeleted val="0"/>
    <c:plotArea>
      <c:layout/>
      <c:barChart>
        <c:barDir val="col"/>
        <c:grouping val="clustered"/>
        <c:varyColors val="1"/>
        <c:ser>
          <c:idx val="0"/>
          <c:order val="0"/>
          <c:tx>
            <c:strRef>
              <c:f>Visualisations!$E$3</c:f>
              <c:strCache>
                <c:ptCount val="1"/>
                <c:pt idx="0">
                  <c:v>Nb</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Visualisations!$D$4:$D$8</c:f>
              <c:strCache>
                <c:ptCount val="5"/>
                <c:pt idx="0">
                  <c:v>Sprint 1</c:v>
                </c:pt>
                <c:pt idx="1">
                  <c:v>Sprint 2</c:v>
                </c:pt>
                <c:pt idx="2">
                  <c:v>Sprint 3</c:v>
                </c:pt>
                <c:pt idx="3">
                  <c:v>Sprint 4</c:v>
                </c:pt>
                <c:pt idx="4">
                  <c:v>Sprint 5</c:v>
                </c:pt>
              </c:strCache>
            </c:strRef>
          </c:cat>
          <c:val>
            <c:numRef>
              <c:f>Visualisations!$E$4:$E$8</c:f>
              <c:numCache>
                <c:formatCode>General</c:formatCode>
                <c:ptCount val="5"/>
                <c:pt idx="0">
                  <c:v>20</c:v>
                </c:pt>
                <c:pt idx="1">
                  <c:v>16</c:v>
                </c:pt>
                <c:pt idx="2">
                  <c:v>4</c:v>
                </c:pt>
                <c:pt idx="3">
                  <c:v>5</c:v>
                </c:pt>
                <c:pt idx="4">
                  <c:v>3</c:v>
                </c:pt>
              </c:numCache>
            </c:numRef>
          </c:val>
          <c:extLst>
            <c:ext xmlns:c16="http://schemas.microsoft.com/office/drawing/2014/chart" uri="{C3380CC4-5D6E-409C-BE32-E72D297353CC}">
              <c16:uniqueId val="{00000000-F634-4E06-85DA-62849EEEE40B}"/>
            </c:ext>
          </c:extLst>
        </c:ser>
        <c:dLbls>
          <c:dLblPos val="outEnd"/>
          <c:showLegendKey val="0"/>
          <c:showVal val="1"/>
          <c:showCatName val="0"/>
          <c:showSerName val="0"/>
          <c:showPercent val="0"/>
          <c:showBubbleSize val="0"/>
        </c:dLbls>
        <c:gapWidth val="444"/>
        <c:overlap val="-90"/>
        <c:axId val="48650112"/>
        <c:axId val="48672768"/>
      </c:barChart>
      <c:catAx>
        <c:axId val="48650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fr-FR"/>
          </a:p>
        </c:txPr>
        <c:crossAx val="48672768"/>
        <c:crosses val="autoZero"/>
        <c:auto val="1"/>
        <c:lblAlgn val="ctr"/>
        <c:lblOffset val="100"/>
        <c:noMultiLvlLbl val="0"/>
      </c:catAx>
      <c:valAx>
        <c:axId val="48672768"/>
        <c:scaling>
          <c:orientation val="minMax"/>
        </c:scaling>
        <c:delete val="1"/>
        <c:axPos val="l"/>
        <c:numFmt formatCode="General" sourceLinked="1"/>
        <c:majorTickMark val="none"/>
        <c:minorTickMark val="none"/>
        <c:tickLblPos val="nextTo"/>
        <c:crossAx val="48650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r>
              <a:rPr lang="fr-FR"/>
              <a:t>Statut d’exécution (100%)</a:t>
            </a:r>
          </a:p>
        </c:rich>
      </c:tx>
      <c:overlay val="0"/>
    </c:title>
    <c:autoTitleDeleted val="0"/>
    <c:plotArea>
      <c:layout/>
      <c:barChart>
        <c:barDir val="col"/>
        <c:grouping val="percentStacked"/>
        <c:varyColors val="1"/>
        <c:ser>
          <c:idx val="0"/>
          <c:order val="0"/>
          <c:tx>
            <c:strRef>
              <c:f>Visualisations!$B$10</c:f>
              <c:strCache>
                <c:ptCount val="1"/>
                <c:pt idx="0">
                  <c:v>Non exécuté</c:v>
                </c:pt>
              </c:strCache>
            </c:strRef>
          </c:tx>
          <c:spPr>
            <a:solidFill>
              <a:srgbClr val="9E9E9E"/>
            </a:solidFill>
            <a:ln/>
          </c:spPr>
          <c:invertIfNegative val="1"/>
          <c:cat>
            <c:strRef>
              <c:f>Visualisations!$A$11</c:f>
              <c:strCache>
                <c:ptCount val="1"/>
                <c:pt idx="0">
                  <c:v>Global</c:v>
                </c:pt>
              </c:strCache>
            </c:strRef>
          </c:cat>
          <c:val>
            <c:numRef>
              <c:f>Visualisations!$B$11</c:f>
              <c:numCache>
                <c:formatCode>General</c:formatCode>
                <c:ptCount val="1"/>
                <c:pt idx="0">
                  <c:v>48</c:v>
                </c:pt>
              </c:numCache>
            </c:numRef>
          </c:val>
          <c:extLst>
            <c:ext xmlns:c14="http://schemas.microsoft.com/office/drawing/2007/8/2/chart" uri="{6F2FDCE9-48DA-4B69-8628-5D25D57E5C99}">
              <c14:invertSolidFillFmt>
                <c14:spPr xmlns:c14="http://schemas.microsoft.com/office/drawing/2007/8/2/chart">
                  <a:solidFill>
                    <a:srgbClr val="FFFFFF"/>
                  </a:solidFill>
                  <a:ln/>
                </c14:spPr>
              </c14:invertSolidFillFmt>
            </c:ext>
            <c:ext xmlns:c16="http://schemas.microsoft.com/office/drawing/2014/chart" uri="{C3380CC4-5D6E-409C-BE32-E72D297353CC}">
              <c16:uniqueId val="{00000000-046C-4BFD-B51E-5F4C57FBBE6E}"/>
            </c:ext>
          </c:extLst>
        </c:ser>
        <c:ser>
          <c:idx val="1"/>
          <c:order val="1"/>
          <c:tx>
            <c:strRef>
              <c:f>Visualisations!$C$10</c:f>
              <c:strCache>
                <c:ptCount val="1"/>
                <c:pt idx="0">
                  <c:v>En cours</c:v>
                </c:pt>
              </c:strCache>
            </c:strRef>
          </c:tx>
          <c:spPr>
            <a:solidFill>
              <a:srgbClr val="1976D2"/>
            </a:solidFill>
            <a:ln/>
          </c:spPr>
          <c:invertIfNegative val="1"/>
          <c:cat>
            <c:strRef>
              <c:f>Visualisations!$A$11</c:f>
              <c:strCache>
                <c:ptCount val="1"/>
                <c:pt idx="0">
                  <c:v>Global</c:v>
                </c:pt>
              </c:strCache>
            </c:strRef>
          </c:cat>
          <c:val>
            <c:numRef>
              <c:f>Visualisations!$C$11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14:spPr>
              </c14:invertSolidFillFmt>
            </c:ext>
            <c:ext xmlns:c16="http://schemas.microsoft.com/office/drawing/2014/chart" uri="{C3380CC4-5D6E-409C-BE32-E72D297353CC}">
              <c16:uniqueId val="{00000001-046C-4BFD-B51E-5F4C57FBBE6E}"/>
            </c:ext>
          </c:extLst>
        </c:ser>
        <c:ser>
          <c:idx val="2"/>
          <c:order val="2"/>
          <c:tx>
            <c:strRef>
              <c:f>Visualisations!$D$10</c:f>
              <c:strCache>
                <c:ptCount val="1"/>
                <c:pt idx="0">
                  <c:v>Passé</c:v>
                </c:pt>
              </c:strCache>
            </c:strRef>
          </c:tx>
          <c:spPr>
            <a:solidFill>
              <a:srgbClr val="388E3C"/>
            </a:solidFill>
            <a:ln/>
          </c:spPr>
          <c:invertIfNegative val="1"/>
          <c:cat>
            <c:strRef>
              <c:f>Visualisations!$A$11</c:f>
              <c:strCache>
                <c:ptCount val="1"/>
                <c:pt idx="0">
                  <c:v>Global</c:v>
                </c:pt>
              </c:strCache>
            </c:strRef>
          </c:cat>
          <c:val>
            <c:numRef>
              <c:f>Visualisations!$D$11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14:spPr>
              </c14:invertSolidFillFmt>
            </c:ext>
            <c:ext xmlns:c16="http://schemas.microsoft.com/office/drawing/2014/chart" uri="{C3380CC4-5D6E-409C-BE32-E72D297353CC}">
              <c16:uniqueId val="{00000002-046C-4BFD-B51E-5F4C57FBBE6E}"/>
            </c:ext>
          </c:extLst>
        </c:ser>
        <c:ser>
          <c:idx val="3"/>
          <c:order val="3"/>
          <c:tx>
            <c:strRef>
              <c:f>Visualisations!$E$10</c:f>
              <c:strCache>
                <c:ptCount val="1"/>
                <c:pt idx="0">
                  <c:v>Échoué</c:v>
                </c:pt>
              </c:strCache>
            </c:strRef>
          </c:tx>
          <c:spPr>
            <a:solidFill>
              <a:srgbClr val="D32F2F"/>
            </a:solidFill>
            <a:ln/>
          </c:spPr>
          <c:invertIfNegative val="1"/>
          <c:cat>
            <c:strRef>
              <c:f>Visualisations!$A$11</c:f>
              <c:strCache>
                <c:ptCount val="1"/>
                <c:pt idx="0">
                  <c:v>Global</c:v>
                </c:pt>
              </c:strCache>
            </c:strRef>
          </c:cat>
          <c:val>
            <c:numRef>
              <c:f>Visualisations!$E$11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14:spPr>
              </c14:invertSolidFillFmt>
            </c:ext>
            <c:ext xmlns:c16="http://schemas.microsoft.com/office/drawing/2014/chart" uri="{C3380CC4-5D6E-409C-BE32-E72D297353CC}">
              <c16:uniqueId val="{00000003-046C-4BFD-B51E-5F4C57FBBE6E}"/>
            </c:ext>
          </c:extLst>
        </c:ser>
        <c:ser>
          <c:idx val="4"/>
          <c:order val="4"/>
          <c:tx>
            <c:strRef>
              <c:f>Visualisations!$F$10</c:f>
              <c:strCache>
                <c:ptCount val="1"/>
                <c:pt idx="0">
                  <c:v>Bloqué</c:v>
                </c:pt>
              </c:strCache>
            </c:strRef>
          </c:tx>
          <c:spPr>
            <a:solidFill>
              <a:srgbClr val="7B1FA2"/>
            </a:solidFill>
            <a:ln/>
          </c:spPr>
          <c:invertIfNegative val="1"/>
          <c:cat>
            <c:strRef>
              <c:f>Visualisations!$A$11</c:f>
              <c:strCache>
                <c:ptCount val="1"/>
                <c:pt idx="0">
                  <c:v>Global</c:v>
                </c:pt>
              </c:strCache>
            </c:strRef>
          </c:cat>
          <c:val>
            <c:numRef>
              <c:f>Visualisations!$F$11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14:spPr>
              </c14:invertSolidFillFmt>
            </c:ext>
            <c:ext xmlns:c16="http://schemas.microsoft.com/office/drawing/2014/chart" uri="{C3380CC4-5D6E-409C-BE32-E72D297353CC}">
              <c16:uniqueId val="{00000004-046C-4BFD-B51E-5F4C57FBBE6E}"/>
            </c:ext>
          </c:extLst>
        </c:ser>
        <c:ser>
          <c:idx val="5"/>
          <c:order val="5"/>
          <c:tx>
            <c:strRef>
              <c:f>Visualisations!$G$10</c:f>
              <c:strCache>
                <c:ptCount val="1"/>
                <c:pt idx="0">
                  <c:v>NA</c:v>
                </c:pt>
              </c:strCache>
            </c:strRef>
          </c:tx>
          <c:spPr>
            <a:solidFill>
              <a:srgbClr val="BDBDBD"/>
            </a:solidFill>
            <a:ln/>
          </c:spPr>
          <c:invertIfNegative val="1"/>
          <c:cat>
            <c:strRef>
              <c:f>Visualisations!$A$11</c:f>
              <c:strCache>
                <c:ptCount val="1"/>
                <c:pt idx="0">
                  <c:v>Global</c:v>
                </c:pt>
              </c:strCache>
            </c:strRef>
          </c:cat>
          <c:val>
            <c:numRef>
              <c:f>Visualisations!$G$11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14:spPr>
              </c14:invertSolidFillFmt>
            </c:ext>
            <c:ext xmlns:c16="http://schemas.microsoft.com/office/drawing/2014/chart" uri="{C3380CC4-5D6E-409C-BE32-E72D297353CC}">
              <c16:uniqueId val="{00000005-046C-4BFD-B51E-5F4C57FBBE6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490537</xdr:colOff>
      <xdr:row>14</xdr:row>
      <xdr:rowOff>47625</xdr:rowOff>
    </xdr:from>
    <xdr:to>
      <xdr:col>5</xdr:col>
      <xdr:colOff>209550</xdr:colOff>
      <xdr:row>29</xdr:row>
      <xdr:rowOff>9525</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505505</xdr:colOff>
      <xdr:row>14</xdr:row>
      <xdr:rowOff>23131</xdr:rowOff>
    </xdr:from>
    <xdr:to>
      <xdr:col>9</xdr:col>
      <xdr:colOff>355147</xdr:colOff>
      <xdr:row>29</xdr:row>
      <xdr:rowOff>19730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408894</xdr:colOff>
      <xdr:row>11</xdr:row>
      <xdr:rowOff>81641</xdr:rowOff>
    </xdr:from>
    <xdr:to>
      <xdr:col>13</xdr:col>
      <xdr:colOff>349703</xdr:colOff>
      <xdr:row>29</xdr:row>
      <xdr:rowOff>19730</xdr:rowOff>
    </xdr:to>
    <xdr:graphicFrame macro="">
      <xdr:nvGraphicFramePr>
        <xdr:cNvPr id="4" nam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xigencesQA" displayName="tblExigencesQA" ref="A1:H43">
  <autoFilter ref="A1:H43" xr:uid="{00000000-0009-0000-0100-000001000000}"/>
  <tableColumns count="8">
    <tableColumn id="1" xr3:uid="{00000000-0010-0000-0000-000001000000}" name="TOM"/>
    <tableColumn id="2" xr3:uid="{00000000-0010-0000-0000-000002000000}" name="Domaine"/>
    <tableColumn id="3" xr3:uid="{00000000-0010-0000-0000-000003000000}" name="Criticité"/>
    <tableColumn id="4" xr3:uid="{00000000-0010-0000-0000-000004000000}" name="Ambiguïté"/>
    <tableColumn id="5" xr3:uid="{00000000-0010-0000-0000-000005000000}" name="Question"/>
    <tableColumn id="6" xr3:uid="{00000000-0010-0000-0000-000006000000}" name="Impact"/>
    <tableColumn id="7" xr3:uid="{00000000-0010-0000-0000-000007000000}" name="Statut"/>
    <tableColumn id="8" xr3:uid="{00000000-0010-0000-0000-000008000000}" name="Own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PlanTest" displayName="tblPlanTest" ref="A1:G49" headerRowDxfId="0" dataDxfId="1" totalsRowDxfId="2" headerRowCellStyle="Accent6">
  <autoFilter ref="A1:G49" xr:uid="{00000000-0009-0000-0100-000002000000}"/>
  <tableColumns count="7">
    <tableColumn id="1" xr3:uid="{00000000-0010-0000-0100-000001000000}" name="Sprint" dataDxfId="9"/>
    <tableColumn id="2" xr3:uid="{00000000-0010-0000-0100-000002000000}" name="ID" dataDxfId="8"/>
    <tableColumn id="3" xr3:uid="{00000000-0010-0000-0100-000003000000}" name="Exigence" dataDxfId="7"/>
    <tableColumn id="4" xr3:uid="{00000000-0010-0000-0100-000004000000}" name="Titre" dataDxfId="6"/>
    <tableColumn id="5" xr3:uid="{00000000-0010-0000-0100-000005000000}" name="Criticité" dataDxfId="5"/>
    <tableColumn id="6" xr3:uid="{00000000-0010-0000-0100-000006000000}" name="Type" dataDxfId="4"/>
    <tableColumn id="7" xr3:uid="{00000000-0010-0000-0100-000007000000}" name="Statut"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print1" displayName="tblSprint1" ref="A1:K21">
  <autoFilter ref="A1:K21" xr:uid="{00000000-0009-0000-0100-000003000000}"/>
  <tableColumns count="11">
    <tableColumn id="1" xr3:uid="{00000000-0010-0000-0200-000001000000}" name="ID"/>
    <tableColumn id="2" xr3:uid="{00000000-0010-0000-0200-000002000000}" name="Exigence"/>
    <tableColumn id="3" xr3:uid="{00000000-0010-0000-0200-000003000000}" name="Titre"/>
    <tableColumn id="4" xr3:uid="{00000000-0010-0000-0200-000004000000}" name="Description"/>
    <tableColumn id="5" xr3:uid="{00000000-0010-0000-0200-000005000000}" name="Préconditions"/>
    <tableColumn id="6" xr3:uid="{00000000-0010-0000-0200-000006000000}" name="Étapes"/>
    <tableColumn id="7" xr3:uid="{00000000-0010-0000-0200-000007000000}" name="Données"/>
    <tableColumn id="8" xr3:uid="{00000000-0010-0000-0200-000008000000}" name="Résultat attendu"/>
    <tableColumn id="9" xr3:uid="{00000000-0010-0000-0200-000009000000}" name="Criticité"/>
    <tableColumn id="10" xr3:uid="{00000000-0010-0000-0200-00000A000000}" name="Type"/>
    <tableColumn id="11" xr3:uid="{00000000-0010-0000-0200-00000B000000}" name="Statu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Sprint2" displayName="tblSprint2" ref="A1:K17">
  <autoFilter ref="A1:K17" xr:uid="{00000000-0009-0000-0100-000004000000}"/>
  <tableColumns count="11">
    <tableColumn id="1" xr3:uid="{00000000-0010-0000-0300-000001000000}" name="ID"/>
    <tableColumn id="2" xr3:uid="{00000000-0010-0000-0300-000002000000}" name="Exigence"/>
    <tableColumn id="3" xr3:uid="{00000000-0010-0000-0300-000003000000}" name="Titre"/>
    <tableColumn id="4" xr3:uid="{00000000-0010-0000-0300-000004000000}" name="Description"/>
    <tableColumn id="5" xr3:uid="{00000000-0010-0000-0300-000005000000}" name="Préconditions"/>
    <tableColumn id="6" xr3:uid="{00000000-0010-0000-0300-000006000000}" name="Étapes"/>
    <tableColumn id="7" xr3:uid="{00000000-0010-0000-0300-000007000000}" name="Données"/>
    <tableColumn id="8" xr3:uid="{00000000-0010-0000-0300-000008000000}" name="Résultat attendu"/>
    <tableColumn id="9" xr3:uid="{00000000-0010-0000-0300-000009000000}" name="Criticité"/>
    <tableColumn id="10" xr3:uid="{00000000-0010-0000-0300-00000A000000}" name="Type"/>
    <tableColumn id="11" xr3:uid="{00000000-0010-0000-0300-00000B000000}" name="Statu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print3" displayName="tblSprint3" ref="A1:K5">
  <autoFilter ref="A1:K5" xr:uid="{00000000-0009-0000-0100-000005000000}"/>
  <tableColumns count="11">
    <tableColumn id="1" xr3:uid="{00000000-0010-0000-0400-000001000000}" name="ID"/>
    <tableColumn id="2" xr3:uid="{00000000-0010-0000-0400-000002000000}" name="Exigence"/>
    <tableColumn id="3" xr3:uid="{00000000-0010-0000-0400-000003000000}" name="Titre"/>
    <tableColumn id="4" xr3:uid="{00000000-0010-0000-0400-000004000000}" name="Description"/>
    <tableColumn id="5" xr3:uid="{00000000-0010-0000-0400-000005000000}" name="Préconditions"/>
    <tableColumn id="6" xr3:uid="{00000000-0010-0000-0400-000006000000}" name="Étapes"/>
    <tableColumn id="7" xr3:uid="{00000000-0010-0000-0400-000007000000}" name="Données"/>
    <tableColumn id="8" xr3:uid="{00000000-0010-0000-0400-000008000000}" name="Résultat attendu"/>
    <tableColumn id="9" xr3:uid="{00000000-0010-0000-0400-000009000000}" name="Criticité"/>
    <tableColumn id="10" xr3:uid="{00000000-0010-0000-0400-00000A000000}" name="Type"/>
    <tableColumn id="11" xr3:uid="{00000000-0010-0000-0400-00000B000000}" name="Statu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print4" displayName="tblSprint4" ref="A1:K6">
  <autoFilter ref="A1:K6" xr:uid="{00000000-0009-0000-0100-000006000000}"/>
  <tableColumns count="11">
    <tableColumn id="1" xr3:uid="{00000000-0010-0000-0500-000001000000}" name="ID"/>
    <tableColumn id="2" xr3:uid="{00000000-0010-0000-0500-000002000000}" name="Exigence"/>
    <tableColumn id="3" xr3:uid="{00000000-0010-0000-0500-000003000000}" name="Titre"/>
    <tableColumn id="4" xr3:uid="{00000000-0010-0000-0500-000004000000}" name="Description"/>
    <tableColumn id="5" xr3:uid="{00000000-0010-0000-0500-000005000000}" name="Préconditions"/>
    <tableColumn id="6" xr3:uid="{00000000-0010-0000-0500-000006000000}" name="Étapes"/>
    <tableColumn id="7" xr3:uid="{00000000-0010-0000-0500-000007000000}" name="Données"/>
    <tableColumn id="8" xr3:uid="{00000000-0010-0000-0500-000008000000}" name="Résultat attendu"/>
    <tableColumn id="9" xr3:uid="{00000000-0010-0000-0500-000009000000}" name="Criticité"/>
    <tableColumn id="10" xr3:uid="{00000000-0010-0000-0500-00000A000000}" name="Type"/>
    <tableColumn id="11" xr3:uid="{00000000-0010-0000-0500-00000B000000}" name="Statu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Sprint5" displayName="tblSprint5" ref="A1:K4">
  <autoFilter ref="A1:K4" xr:uid="{00000000-0009-0000-0100-000007000000}"/>
  <tableColumns count="11">
    <tableColumn id="1" xr3:uid="{00000000-0010-0000-0600-000001000000}" name="ID"/>
    <tableColumn id="2" xr3:uid="{00000000-0010-0000-0600-000002000000}" name="Exigence"/>
    <tableColumn id="3" xr3:uid="{00000000-0010-0000-0600-000003000000}" name="Titre"/>
    <tableColumn id="4" xr3:uid="{00000000-0010-0000-0600-000004000000}" name="Description"/>
    <tableColumn id="5" xr3:uid="{00000000-0010-0000-0600-000005000000}" name="Préconditions"/>
    <tableColumn id="6" xr3:uid="{00000000-0010-0000-0600-000006000000}" name="Étapes"/>
    <tableColumn id="7" xr3:uid="{00000000-0010-0000-0600-000007000000}" name="Données"/>
    <tableColumn id="8" xr3:uid="{00000000-0010-0000-0600-000008000000}" name="Résultat attendu"/>
    <tableColumn id="9" xr3:uid="{00000000-0010-0000-0600-000009000000}" name="Criticité"/>
    <tableColumn id="10" xr3:uid="{00000000-0010-0000-0600-00000A000000}" name="Type"/>
    <tableColumn id="11" xr3:uid="{00000000-0010-0000-0600-00000B000000}" name="Statu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workbookViewId="0">
      <selection activeCell="B5" sqref="B5"/>
    </sheetView>
  </sheetViews>
  <sheetFormatPr baseColWidth="10" defaultColWidth="9.06640625" defaultRowHeight="14.25" x14ac:dyDescent="0.45"/>
  <cols>
    <col min="1" max="1" width="28" customWidth="1"/>
    <col min="2" max="2" width="22" customWidth="1"/>
    <col min="4" max="4" width="14" customWidth="1"/>
    <col min="5" max="5" width="10" customWidth="1"/>
  </cols>
  <sheetData>
    <row r="1" spans="1:8" ht="28.05" customHeight="1" x14ac:dyDescent="0.45">
      <c r="A1" s="8" t="s">
        <v>0</v>
      </c>
      <c r="B1" s="7"/>
      <c r="C1" s="7"/>
      <c r="D1" s="7"/>
      <c r="E1" s="7"/>
      <c r="F1" s="7"/>
      <c r="G1" s="7"/>
      <c r="H1" s="7"/>
    </row>
    <row r="3" spans="1:8" ht="22.05" customHeight="1" x14ac:dyDescent="0.45">
      <c r="A3" s="1" t="s">
        <v>1</v>
      </c>
      <c r="B3" s="1" t="s">
        <v>2</v>
      </c>
      <c r="D3" s="4" t="s">
        <v>3</v>
      </c>
      <c r="E3" s="5"/>
      <c r="F3" s="5"/>
    </row>
    <row r="4" spans="1:8" x14ac:dyDescent="0.45">
      <c r="A4" s="2" t="s">
        <v>4</v>
      </c>
      <c r="B4" s="2">
        <f>COUNTA('Revue exigences QA'!$A$2:$A$1000)</f>
        <v>42</v>
      </c>
      <c r="D4" s="1" t="s">
        <v>5</v>
      </c>
      <c r="E4" s="1" t="s">
        <v>6</v>
      </c>
    </row>
    <row r="5" spans="1:8" x14ac:dyDescent="0.45">
      <c r="A5" s="2" t="s">
        <v>7</v>
      </c>
      <c r="B5" s="2">
        <f>COUNTA('Plan de test par Sprint'!$B$2:$B$1000)</f>
        <v>48</v>
      </c>
      <c r="D5" s="2" t="s">
        <v>8</v>
      </c>
      <c r="E5" s="2">
        <f>COUNTIF('Plan de test par Sprint'!$A$2:$A$1000,"Sprint 1")</f>
        <v>20</v>
      </c>
    </row>
    <row r="6" spans="1:8" x14ac:dyDescent="0.45">
      <c r="A6" s="2" t="s">
        <v>9</v>
      </c>
      <c r="B6" s="2">
        <f>COUNTIF('Plan de test par Sprint'!$E$2:$E$1000,"Critique")</f>
        <v>16</v>
      </c>
      <c r="D6" s="2" t="s">
        <v>10</v>
      </c>
      <c r="E6" s="2">
        <f>COUNTIF('Plan de test par Sprint'!$A$2:$A$1000,"Sprint 2")</f>
        <v>16</v>
      </c>
    </row>
    <row r="7" spans="1:8" x14ac:dyDescent="0.45">
      <c r="A7" s="2" t="s">
        <v>11</v>
      </c>
      <c r="B7" s="2">
        <f>COUNTIF('Plan de test par Sprint'!$E$2:$E$1000,"Élevée")</f>
        <v>22</v>
      </c>
      <c r="D7" s="2" t="s">
        <v>12</v>
      </c>
      <c r="E7" s="2">
        <f>COUNTIF('Plan de test par Sprint'!$A$2:$A$1000,"Sprint 3")</f>
        <v>4</v>
      </c>
    </row>
    <row r="8" spans="1:8" x14ac:dyDescent="0.45">
      <c r="A8" s="2" t="s">
        <v>13</v>
      </c>
      <c r="B8" s="2">
        <f>COUNTIF('Plan de test par Sprint'!$E$2:$E$1000,"Moyenne")</f>
        <v>10</v>
      </c>
      <c r="D8" s="2" t="s">
        <v>14</v>
      </c>
      <c r="E8" s="2">
        <f>COUNTIF('Plan de test par Sprint'!$A$2:$A$1000,"Sprint 4")</f>
        <v>5</v>
      </c>
    </row>
    <row r="9" spans="1:8" x14ac:dyDescent="0.45">
      <c r="A9" s="2" t="s">
        <v>15</v>
      </c>
      <c r="B9" s="2">
        <f>COUNTIF('Plan de test par Sprint'!$G$2:$G$1000,"Passé")</f>
        <v>0</v>
      </c>
      <c r="D9" s="2" t="s">
        <v>16</v>
      </c>
      <c r="E9" s="2">
        <f>COUNTIF('Plan de test par Sprint'!$A$2:$A$1000,"Sprint 5")</f>
        <v>3</v>
      </c>
    </row>
    <row r="12" spans="1:8" x14ac:dyDescent="0.45">
      <c r="A12" s="6" t="s">
        <v>17</v>
      </c>
      <c r="B12" s="7"/>
      <c r="D12" s="6" t="s">
        <v>18</v>
      </c>
      <c r="E12" s="7"/>
    </row>
    <row r="13" spans="1:8" x14ac:dyDescent="0.45">
      <c r="A13" s="1" t="s">
        <v>19</v>
      </c>
      <c r="B13" s="1" t="s">
        <v>6</v>
      </c>
      <c r="D13" s="1" t="s">
        <v>20</v>
      </c>
      <c r="E13" s="1" t="s">
        <v>6</v>
      </c>
    </row>
    <row r="14" spans="1:8" x14ac:dyDescent="0.45">
      <c r="A14" s="2" t="s">
        <v>21</v>
      </c>
      <c r="B14" s="2">
        <f>COUNTIF('Plan de test par Sprint'!$E$2:$E$1000,"Critique")</f>
        <v>16</v>
      </c>
      <c r="D14" s="2" t="s">
        <v>22</v>
      </c>
      <c r="E14" s="2">
        <f>COUNTIF('Plan de test par Sprint'!$G$2:$G$1000,"Non exécuté")</f>
        <v>48</v>
      </c>
    </row>
    <row r="15" spans="1:8" x14ac:dyDescent="0.45">
      <c r="A15" s="2" t="s">
        <v>23</v>
      </c>
      <c r="B15" s="2">
        <f>COUNTIF('Plan de test par Sprint'!$E$2:$E$1000,"Élevée")</f>
        <v>22</v>
      </c>
      <c r="D15" s="2" t="s">
        <v>24</v>
      </c>
      <c r="E15" s="2">
        <f>COUNTIF('Plan de test par Sprint'!$G$2:$G$1000,"En cours")</f>
        <v>0</v>
      </c>
    </row>
    <row r="16" spans="1:8" x14ac:dyDescent="0.45">
      <c r="A16" s="2" t="s">
        <v>25</v>
      </c>
      <c r="B16" s="2">
        <f>COUNTIF('Plan de test par Sprint'!$E$2:$E$1000,"Moyenne")</f>
        <v>10</v>
      </c>
      <c r="D16" s="2" t="s">
        <v>26</v>
      </c>
      <c r="E16" s="2">
        <f>COUNTIF('Plan de test par Sprint'!$G$2:$G$1000,"Passé")</f>
        <v>0</v>
      </c>
    </row>
    <row r="17" spans="1:5" x14ac:dyDescent="0.45">
      <c r="A17" s="2" t="s">
        <v>27</v>
      </c>
      <c r="B17" s="2">
        <f>COUNTIF('Plan de test par Sprint'!$E$2:$E$1000,"Faible")</f>
        <v>0</v>
      </c>
      <c r="D17" s="2" t="s">
        <v>28</v>
      </c>
      <c r="E17" s="2">
        <f>COUNTIF('Plan de test par Sprint'!$G$2:$G$1000,"Échoué")</f>
        <v>0</v>
      </c>
    </row>
    <row r="18" spans="1:5" x14ac:dyDescent="0.45">
      <c r="A18" s="2" t="s">
        <v>29</v>
      </c>
      <c r="B18" s="2">
        <f>COUNTIF('Plan de test par Sprint'!$E$2:$E$1000,"Informative")</f>
        <v>0</v>
      </c>
      <c r="D18" s="2" t="s">
        <v>30</v>
      </c>
      <c r="E18" s="2">
        <f>COUNTIF('Plan de test par Sprint'!$G$2:$G$1000,"Bloqué")</f>
        <v>0</v>
      </c>
    </row>
    <row r="19" spans="1:5" x14ac:dyDescent="0.45">
      <c r="D19" s="2" t="s">
        <v>31</v>
      </c>
      <c r="E19" s="2">
        <f>COUNTIF('Plan de test par Sprint'!$G$2:$G$1000,"NA")</f>
        <v>0</v>
      </c>
    </row>
  </sheetData>
  <mergeCells count="4">
    <mergeCell ref="D3:F3"/>
    <mergeCell ref="A12:B12"/>
    <mergeCell ref="D12:E1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workbookViewId="0"/>
  </sheetViews>
  <sheetFormatPr baseColWidth="10" defaultColWidth="9.06640625" defaultRowHeight="14.25" x14ac:dyDescent="0.45"/>
  <cols>
    <col min="1" max="1" width="16" customWidth="1"/>
    <col min="2" max="2" width="20" customWidth="1"/>
    <col min="3" max="3" width="10" customWidth="1"/>
    <col min="4" max="4" width="32" customWidth="1"/>
    <col min="5" max="5" width="60" customWidth="1"/>
    <col min="6" max="6" width="45" customWidth="1"/>
    <col min="7" max="8" width="12" customWidth="1"/>
  </cols>
  <sheetData>
    <row r="1" spans="1:8" ht="12" customHeight="1" x14ac:dyDescent="0.45">
      <c r="A1" s="1" t="s">
        <v>32</v>
      </c>
      <c r="B1" s="1" t="s">
        <v>33</v>
      </c>
      <c r="C1" s="1" t="s">
        <v>19</v>
      </c>
      <c r="D1" s="1" t="s">
        <v>34</v>
      </c>
      <c r="E1" s="1" t="s">
        <v>35</v>
      </c>
      <c r="F1" s="1" t="s">
        <v>36</v>
      </c>
      <c r="G1" s="1" t="s">
        <v>20</v>
      </c>
      <c r="H1" s="1" t="s">
        <v>37</v>
      </c>
    </row>
    <row r="2" spans="1:8" ht="28.5" x14ac:dyDescent="0.45">
      <c r="A2" s="2" t="s">
        <v>38</v>
      </c>
      <c r="B2" s="2" t="s">
        <v>39</v>
      </c>
      <c r="C2" s="2" t="s">
        <v>23</v>
      </c>
      <c r="D2" s="2" t="s">
        <v>40</v>
      </c>
      <c r="E2" s="2" t="s">
        <v>41</v>
      </c>
      <c r="F2" s="2" t="s">
        <v>42</v>
      </c>
      <c r="G2" s="2" t="s">
        <v>43</v>
      </c>
      <c r="H2" s="2" t="s">
        <v>44</v>
      </c>
    </row>
    <row r="3" spans="1:8" ht="57" x14ac:dyDescent="0.45">
      <c r="A3" s="2" t="s">
        <v>45</v>
      </c>
      <c r="B3" s="2" t="s">
        <v>46</v>
      </c>
      <c r="C3" s="2" t="s">
        <v>23</v>
      </c>
      <c r="D3" s="2" t="s">
        <v>47</v>
      </c>
      <c r="E3" s="2" t="s">
        <v>48</v>
      </c>
      <c r="F3" s="2" t="s">
        <v>49</v>
      </c>
      <c r="G3" s="2" t="s">
        <v>43</v>
      </c>
      <c r="H3" s="2" t="s">
        <v>44</v>
      </c>
    </row>
    <row r="4" spans="1:8" ht="42.75" x14ac:dyDescent="0.45">
      <c r="A4" s="2" t="s">
        <v>45</v>
      </c>
      <c r="B4" s="2" t="s">
        <v>50</v>
      </c>
      <c r="C4" s="2" t="s">
        <v>21</v>
      </c>
      <c r="D4" s="2" t="s">
        <v>51</v>
      </c>
      <c r="E4" s="2" t="s">
        <v>52</v>
      </c>
      <c r="F4" s="2" t="s">
        <v>53</v>
      </c>
      <c r="G4" s="2" t="s">
        <v>43</v>
      </c>
      <c r="H4" s="2" t="s">
        <v>44</v>
      </c>
    </row>
    <row r="5" spans="1:8" ht="42.75" x14ac:dyDescent="0.45">
      <c r="A5" s="2" t="s">
        <v>54</v>
      </c>
      <c r="B5" s="2" t="s">
        <v>55</v>
      </c>
      <c r="C5" s="2" t="s">
        <v>23</v>
      </c>
      <c r="D5" s="2" t="s">
        <v>56</v>
      </c>
      <c r="E5" s="2" t="s">
        <v>57</v>
      </c>
      <c r="F5" s="2" t="s">
        <v>58</v>
      </c>
      <c r="G5" s="2" t="s">
        <v>43</v>
      </c>
      <c r="H5" s="2" t="s">
        <v>44</v>
      </c>
    </row>
    <row r="6" spans="1:8" ht="28.5" x14ac:dyDescent="0.45">
      <c r="A6" s="2" t="s">
        <v>54</v>
      </c>
      <c r="B6" s="2" t="s">
        <v>50</v>
      </c>
      <c r="C6" s="2" t="s">
        <v>23</v>
      </c>
      <c r="D6" s="2" t="s">
        <v>59</v>
      </c>
      <c r="E6" s="2" t="s">
        <v>60</v>
      </c>
      <c r="F6" s="2" t="s">
        <v>61</v>
      </c>
      <c r="G6" s="2" t="s">
        <v>43</v>
      </c>
      <c r="H6" s="2" t="s">
        <v>44</v>
      </c>
    </row>
    <row r="7" spans="1:8" ht="28.5" x14ac:dyDescent="0.45">
      <c r="A7" s="2" t="s">
        <v>62</v>
      </c>
      <c r="B7" s="2" t="s">
        <v>46</v>
      </c>
      <c r="C7" s="2" t="s">
        <v>23</v>
      </c>
      <c r="D7" s="2" t="s">
        <v>63</v>
      </c>
      <c r="E7" s="2" t="s">
        <v>64</v>
      </c>
      <c r="F7" s="2" t="s">
        <v>65</v>
      </c>
      <c r="G7" s="2" t="s">
        <v>43</v>
      </c>
      <c r="H7" s="2" t="s">
        <v>44</v>
      </c>
    </row>
    <row r="8" spans="1:8" ht="28.5" x14ac:dyDescent="0.45">
      <c r="A8" s="2" t="s">
        <v>66</v>
      </c>
      <c r="B8" s="2" t="s">
        <v>46</v>
      </c>
      <c r="C8" s="2" t="s">
        <v>21</v>
      </c>
      <c r="D8" s="2" t="s">
        <v>67</v>
      </c>
      <c r="E8" s="2" t="s">
        <v>68</v>
      </c>
      <c r="F8" s="2" t="s">
        <v>69</v>
      </c>
      <c r="G8" s="2" t="s">
        <v>43</v>
      </c>
      <c r="H8" s="2" t="s">
        <v>44</v>
      </c>
    </row>
    <row r="9" spans="1:8" ht="28.5" x14ac:dyDescent="0.45">
      <c r="A9" s="2" t="s">
        <v>70</v>
      </c>
      <c r="B9" s="2" t="s">
        <v>55</v>
      </c>
      <c r="C9" s="2" t="s">
        <v>23</v>
      </c>
      <c r="D9" s="2" t="s">
        <v>71</v>
      </c>
      <c r="E9" s="2" t="s">
        <v>72</v>
      </c>
      <c r="F9" s="2" t="s">
        <v>73</v>
      </c>
      <c r="G9" s="2" t="s">
        <v>43</v>
      </c>
      <c r="H9" s="2" t="s">
        <v>44</v>
      </c>
    </row>
    <row r="10" spans="1:8" ht="71.25" x14ac:dyDescent="0.45">
      <c r="A10" s="2" t="s">
        <v>74</v>
      </c>
      <c r="B10" s="2" t="s">
        <v>50</v>
      </c>
      <c r="C10" s="2" t="s">
        <v>21</v>
      </c>
      <c r="D10" s="2" t="s">
        <v>75</v>
      </c>
      <c r="E10" s="2" t="s">
        <v>76</v>
      </c>
      <c r="F10" s="2" t="s">
        <v>77</v>
      </c>
      <c r="G10" s="2" t="s">
        <v>43</v>
      </c>
      <c r="H10" s="2" t="s">
        <v>44</v>
      </c>
    </row>
    <row r="11" spans="1:8" ht="57" x14ac:dyDescent="0.45">
      <c r="A11" s="2" t="s">
        <v>78</v>
      </c>
      <c r="B11" s="2" t="s">
        <v>46</v>
      </c>
      <c r="C11" s="2" t="s">
        <v>23</v>
      </c>
      <c r="D11" s="2" t="s">
        <v>79</v>
      </c>
      <c r="E11" s="2" t="s">
        <v>80</v>
      </c>
      <c r="F11" s="2" t="s">
        <v>81</v>
      </c>
      <c r="G11" s="2" t="s">
        <v>43</v>
      </c>
      <c r="H11" s="2" t="s">
        <v>44</v>
      </c>
    </row>
    <row r="12" spans="1:8" ht="28.5" x14ac:dyDescent="0.45">
      <c r="A12" s="2" t="s">
        <v>82</v>
      </c>
      <c r="B12" s="2" t="s">
        <v>55</v>
      </c>
      <c r="C12" s="2" t="s">
        <v>23</v>
      </c>
      <c r="D12" s="2" t="s">
        <v>83</v>
      </c>
      <c r="E12" s="2" t="s">
        <v>84</v>
      </c>
      <c r="F12" s="2" t="s">
        <v>85</v>
      </c>
      <c r="G12" s="2" t="s">
        <v>43</v>
      </c>
      <c r="H12" s="2" t="s">
        <v>44</v>
      </c>
    </row>
    <row r="13" spans="1:8" ht="156.75" x14ac:dyDescent="0.45">
      <c r="A13" s="2" t="s">
        <v>86</v>
      </c>
      <c r="B13" s="2" t="s">
        <v>50</v>
      </c>
      <c r="C13" s="2" t="s">
        <v>21</v>
      </c>
      <c r="D13" s="2" t="s">
        <v>87</v>
      </c>
      <c r="E13" s="2" t="s">
        <v>88</v>
      </c>
      <c r="F13" s="2" t="s">
        <v>89</v>
      </c>
      <c r="G13" s="2" t="s">
        <v>43</v>
      </c>
      <c r="H13" s="2" t="s">
        <v>44</v>
      </c>
    </row>
    <row r="14" spans="1:8" ht="28.5" x14ac:dyDescent="0.45">
      <c r="A14" s="2" t="s">
        <v>90</v>
      </c>
      <c r="B14" s="2" t="s">
        <v>39</v>
      </c>
      <c r="C14" s="2" t="s">
        <v>21</v>
      </c>
      <c r="D14" s="2" t="s">
        <v>91</v>
      </c>
      <c r="E14" s="2" t="s">
        <v>92</v>
      </c>
      <c r="F14" s="2" t="s">
        <v>93</v>
      </c>
      <c r="G14" s="2" t="s">
        <v>43</v>
      </c>
      <c r="H14" s="2" t="s">
        <v>44</v>
      </c>
    </row>
    <row r="15" spans="1:8" ht="99.75" x14ac:dyDescent="0.45">
      <c r="A15" s="2" t="s">
        <v>94</v>
      </c>
      <c r="B15" s="2" t="s">
        <v>39</v>
      </c>
      <c r="C15" s="2" t="s">
        <v>21</v>
      </c>
      <c r="D15" s="2" t="s">
        <v>95</v>
      </c>
      <c r="E15" s="2" t="s">
        <v>96</v>
      </c>
      <c r="F15" s="2" t="s">
        <v>97</v>
      </c>
      <c r="G15" s="2" t="s">
        <v>43</v>
      </c>
      <c r="H15" s="2" t="s">
        <v>44</v>
      </c>
    </row>
    <row r="16" spans="1:8" ht="28.5" x14ac:dyDescent="0.45">
      <c r="A16" s="2" t="s">
        <v>98</v>
      </c>
      <c r="B16" s="2" t="s">
        <v>99</v>
      </c>
      <c r="C16" s="2" t="s">
        <v>21</v>
      </c>
      <c r="D16" s="2" t="s">
        <v>100</v>
      </c>
      <c r="E16" s="2" t="s">
        <v>101</v>
      </c>
      <c r="F16" s="2" t="s">
        <v>102</v>
      </c>
      <c r="G16" s="2" t="s">
        <v>43</v>
      </c>
      <c r="H16" s="2" t="s">
        <v>44</v>
      </c>
    </row>
    <row r="17" spans="1:8" ht="28.5" x14ac:dyDescent="0.45">
      <c r="A17" s="2" t="s">
        <v>103</v>
      </c>
      <c r="B17" s="2" t="s">
        <v>39</v>
      </c>
      <c r="C17" s="2" t="s">
        <v>23</v>
      </c>
      <c r="D17" s="2" t="s">
        <v>104</v>
      </c>
      <c r="E17" s="2" t="s">
        <v>105</v>
      </c>
      <c r="F17" s="2" t="s">
        <v>106</v>
      </c>
      <c r="G17" s="2" t="s">
        <v>43</v>
      </c>
      <c r="H17" s="2" t="s">
        <v>44</v>
      </c>
    </row>
    <row r="18" spans="1:8" ht="57" x14ac:dyDescent="0.45">
      <c r="A18" s="2" t="s">
        <v>107</v>
      </c>
      <c r="B18" s="2" t="s">
        <v>39</v>
      </c>
      <c r="C18" s="2" t="s">
        <v>23</v>
      </c>
      <c r="D18" s="2" t="s">
        <v>108</v>
      </c>
      <c r="E18" s="2" t="s">
        <v>109</v>
      </c>
      <c r="F18" s="2" t="s">
        <v>110</v>
      </c>
      <c r="G18" s="2" t="s">
        <v>43</v>
      </c>
      <c r="H18" s="2" t="s">
        <v>44</v>
      </c>
    </row>
    <row r="19" spans="1:8" ht="114" x14ac:dyDescent="0.45">
      <c r="A19" s="2" t="s">
        <v>111</v>
      </c>
      <c r="B19" s="2" t="s">
        <v>99</v>
      </c>
      <c r="C19" s="2" t="s">
        <v>21</v>
      </c>
      <c r="D19" s="2" t="s">
        <v>112</v>
      </c>
      <c r="E19" s="2" t="s">
        <v>113</v>
      </c>
      <c r="F19" s="2" t="s">
        <v>114</v>
      </c>
      <c r="G19" s="2" t="s">
        <v>43</v>
      </c>
      <c r="H19" s="2" t="s">
        <v>44</v>
      </c>
    </row>
    <row r="20" spans="1:8" ht="42.75" x14ac:dyDescent="0.45">
      <c r="A20" s="2" t="s">
        <v>115</v>
      </c>
      <c r="B20" s="2" t="s">
        <v>50</v>
      </c>
      <c r="C20" s="2" t="s">
        <v>21</v>
      </c>
      <c r="D20" s="2" t="s">
        <v>116</v>
      </c>
      <c r="E20" s="2" t="s">
        <v>117</v>
      </c>
      <c r="F20" s="2" t="s">
        <v>118</v>
      </c>
      <c r="G20" s="2" t="s">
        <v>43</v>
      </c>
      <c r="H20" s="2" t="s">
        <v>44</v>
      </c>
    </row>
    <row r="21" spans="1:8" ht="28.5" x14ac:dyDescent="0.45">
      <c r="A21" s="2" t="s">
        <v>119</v>
      </c>
      <c r="B21" s="2" t="s">
        <v>99</v>
      </c>
      <c r="C21" s="2" t="s">
        <v>21</v>
      </c>
      <c r="D21" s="2" t="s">
        <v>120</v>
      </c>
      <c r="E21" s="2" t="s">
        <v>121</v>
      </c>
      <c r="F21" s="2" t="s">
        <v>122</v>
      </c>
      <c r="G21" s="2" t="s">
        <v>43</v>
      </c>
      <c r="H21" s="2" t="s">
        <v>44</v>
      </c>
    </row>
    <row r="22" spans="1:8" ht="28.5" x14ac:dyDescent="0.45">
      <c r="A22" s="2" t="s">
        <v>123</v>
      </c>
      <c r="B22" s="2" t="s">
        <v>46</v>
      </c>
      <c r="C22" s="2" t="s">
        <v>21</v>
      </c>
      <c r="D22" s="2" t="s">
        <v>124</v>
      </c>
      <c r="E22" s="2" t="s">
        <v>125</v>
      </c>
      <c r="F22" s="2" t="s">
        <v>126</v>
      </c>
      <c r="G22" s="2" t="s">
        <v>43</v>
      </c>
      <c r="H22" s="2" t="s">
        <v>44</v>
      </c>
    </row>
    <row r="23" spans="1:8" ht="28.5" x14ac:dyDescent="0.45">
      <c r="A23" s="2" t="s">
        <v>127</v>
      </c>
      <c r="B23" s="2" t="s">
        <v>128</v>
      </c>
      <c r="C23" s="2" t="s">
        <v>25</v>
      </c>
      <c r="D23" s="2" t="s">
        <v>129</v>
      </c>
      <c r="E23" s="2" t="s">
        <v>130</v>
      </c>
      <c r="F23" s="2" t="s">
        <v>131</v>
      </c>
      <c r="G23" s="2" t="s">
        <v>43</v>
      </c>
      <c r="H23" s="2" t="s">
        <v>44</v>
      </c>
    </row>
    <row r="24" spans="1:8" ht="28.5" x14ac:dyDescent="0.45">
      <c r="A24" s="2" t="s">
        <v>132</v>
      </c>
      <c r="B24" s="2" t="s">
        <v>99</v>
      </c>
      <c r="C24" s="2" t="s">
        <v>23</v>
      </c>
      <c r="D24" s="2" t="s">
        <v>133</v>
      </c>
      <c r="E24" s="2" t="s">
        <v>134</v>
      </c>
      <c r="F24" s="2" t="s">
        <v>135</v>
      </c>
      <c r="G24" s="2" t="s">
        <v>43</v>
      </c>
      <c r="H24" s="2" t="s">
        <v>44</v>
      </c>
    </row>
    <row r="25" spans="1:8" ht="28.5" x14ac:dyDescent="0.45">
      <c r="A25" s="2" t="s">
        <v>136</v>
      </c>
      <c r="B25" s="2" t="s">
        <v>99</v>
      </c>
      <c r="C25" s="2" t="s">
        <v>23</v>
      </c>
      <c r="D25" s="2" t="s">
        <v>137</v>
      </c>
      <c r="E25" s="2" t="s">
        <v>138</v>
      </c>
      <c r="F25" s="2" t="s">
        <v>139</v>
      </c>
      <c r="G25" s="2" t="s">
        <v>43</v>
      </c>
      <c r="H25" s="2" t="s">
        <v>44</v>
      </c>
    </row>
    <row r="26" spans="1:8" ht="28.5" x14ac:dyDescent="0.45">
      <c r="A26" s="2" t="s">
        <v>140</v>
      </c>
      <c r="B26" s="2" t="s">
        <v>55</v>
      </c>
      <c r="C26" s="2" t="s">
        <v>23</v>
      </c>
      <c r="D26" s="2" t="s">
        <v>141</v>
      </c>
      <c r="E26" s="2" t="s">
        <v>142</v>
      </c>
      <c r="F26" s="2" t="s">
        <v>143</v>
      </c>
      <c r="G26" s="2" t="s">
        <v>43</v>
      </c>
      <c r="H26" s="2" t="s">
        <v>44</v>
      </c>
    </row>
    <row r="27" spans="1:8" ht="28.5" x14ac:dyDescent="0.45">
      <c r="A27" s="2" t="s">
        <v>144</v>
      </c>
      <c r="B27" s="2" t="s">
        <v>55</v>
      </c>
      <c r="C27" s="2" t="s">
        <v>25</v>
      </c>
      <c r="D27" s="2" t="s">
        <v>145</v>
      </c>
      <c r="E27" s="2" t="s">
        <v>146</v>
      </c>
      <c r="F27" s="2" t="s">
        <v>147</v>
      </c>
      <c r="G27" s="2" t="s">
        <v>43</v>
      </c>
      <c r="H27" s="2" t="s">
        <v>44</v>
      </c>
    </row>
    <row r="28" spans="1:8" ht="28.5" x14ac:dyDescent="0.45">
      <c r="A28" s="2" t="s">
        <v>148</v>
      </c>
      <c r="B28" s="2" t="s">
        <v>99</v>
      </c>
      <c r="C28" s="2" t="s">
        <v>23</v>
      </c>
      <c r="D28" s="2" t="s">
        <v>149</v>
      </c>
      <c r="E28" s="2" t="s">
        <v>150</v>
      </c>
      <c r="F28" s="2" t="s">
        <v>151</v>
      </c>
      <c r="G28" s="2" t="s">
        <v>43</v>
      </c>
      <c r="H28" s="2" t="s">
        <v>44</v>
      </c>
    </row>
    <row r="29" spans="1:8" ht="28.5" x14ac:dyDescent="0.45">
      <c r="A29" s="2" t="s">
        <v>152</v>
      </c>
      <c r="B29" s="2" t="s">
        <v>46</v>
      </c>
      <c r="C29" s="2" t="s">
        <v>25</v>
      </c>
      <c r="D29" s="2" t="s">
        <v>153</v>
      </c>
      <c r="E29" s="2" t="s">
        <v>154</v>
      </c>
      <c r="F29" s="2" t="s">
        <v>155</v>
      </c>
      <c r="G29" s="2" t="s">
        <v>43</v>
      </c>
      <c r="H29" s="2" t="s">
        <v>156</v>
      </c>
    </row>
    <row r="30" spans="1:8" ht="28.5" x14ac:dyDescent="0.45">
      <c r="A30" s="2" t="s">
        <v>157</v>
      </c>
      <c r="B30" s="2" t="s">
        <v>55</v>
      </c>
      <c r="C30" s="2" t="s">
        <v>25</v>
      </c>
      <c r="D30" s="2" t="s">
        <v>158</v>
      </c>
      <c r="E30" s="2" t="s">
        <v>159</v>
      </c>
      <c r="F30" s="2" t="s">
        <v>160</v>
      </c>
      <c r="G30" s="2" t="s">
        <v>43</v>
      </c>
      <c r="H30" s="2" t="s">
        <v>44</v>
      </c>
    </row>
    <row r="31" spans="1:8" ht="57" x14ac:dyDescent="0.45">
      <c r="A31" s="2" t="s">
        <v>161</v>
      </c>
      <c r="B31" s="2" t="s">
        <v>55</v>
      </c>
      <c r="C31" s="2" t="s">
        <v>23</v>
      </c>
      <c r="D31" s="2" t="s">
        <v>162</v>
      </c>
      <c r="E31" s="2" t="s">
        <v>163</v>
      </c>
      <c r="F31" s="2" t="s">
        <v>164</v>
      </c>
      <c r="G31" s="2" t="s">
        <v>43</v>
      </c>
      <c r="H31" s="2" t="s">
        <v>44</v>
      </c>
    </row>
    <row r="32" spans="1:8" ht="28.5" x14ac:dyDescent="0.45">
      <c r="A32" s="2" t="s">
        <v>165</v>
      </c>
      <c r="B32" s="2" t="s">
        <v>46</v>
      </c>
      <c r="C32" s="2" t="s">
        <v>25</v>
      </c>
      <c r="D32" s="2" t="s">
        <v>166</v>
      </c>
      <c r="E32" s="2" t="s">
        <v>167</v>
      </c>
      <c r="F32" s="2" t="s">
        <v>168</v>
      </c>
      <c r="G32" s="2" t="s">
        <v>43</v>
      </c>
      <c r="H32" s="2" t="s">
        <v>44</v>
      </c>
    </row>
    <row r="33" spans="1:8" ht="28.5" x14ac:dyDescent="0.45">
      <c r="A33" s="2" t="s">
        <v>169</v>
      </c>
      <c r="B33" s="2" t="s">
        <v>55</v>
      </c>
      <c r="C33" s="2" t="s">
        <v>23</v>
      </c>
      <c r="D33" s="2" t="s">
        <v>170</v>
      </c>
      <c r="E33" s="2" t="s">
        <v>171</v>
      </c>
      <c r="F33" s="2" t="s">
        <v>172</v>
      </c>
      <c r="G33" s="2" t="s">
        <v>43</v>
      </c>
      <c r="H33" s="2" t="s">
        <v>44</v>
      </c>
    </row>
    <row r="34" spans="1:8" ht="28.5" x14ac:dyDescent="0.45">
      <c r="A34" s="2" t="s">
        <v>173</v>
      </c>
      <c r="B34" s="2" t="s">
        <v>46</v>
      </c>
      <c r="C34" s="2" t="s">
        <v>25</v>
      </c>
      <c r="D34" s="2" t="s">
        <v>174</v>
      </c>
      <c r="E34" s="2" t="s">
        <v>175</v>
      </c>
      <c r="F34" s="2" t="s">
        <v>176</v>
      </c>
      <c r="G34" s="2" t="s">
        <v>43</v>
      </c>
      <c r="H34" s="2" t="s">
        <v>44</v>
      </c>
    </row>
    <row r="35" spans="1:8" ht="28.5" x14ac:dyDescent="0.45">
      <c r="A35" s="2" t="s">
        <v>177</v>
      </c>
      <c r="B35" s="2" t="s">
        <v>55</v>
      </c>
      <c r="C35" s="2" t="s">
        <v>23</v>
      </c>
      <c r="D35" s="2" t="s">
        <v>178</v>
      </c>
      <c r="E35" s="2" t="s">
        <v>179</v>
      </c>
      <c r="F35" s="2" t="s">
        <v>180</v>
      </c>
      <c r="G35" s="2" t="s">
        <v>43</v>
      </c>
      <c r="H35" s="2" t="s">
        <v>44</v>
      </c>
    </row>
    <row r="36" spans="1:8" ht="28.5" x14ac:dyDescent="0.45">
      <c r="A36" s="2" t="s">
        <v>181</v>
      </c>
      <c r="B36" s="2" t="s">
        <v>46</v>
      </c>
      <c r="C36" s="2" t="s">
        <v>23</v>
      </c>
      <c r="D36" s="2" t="s">
        <v>182</v>
      </c>
      <c r="E36" s="2" t="s">
        <v>183</v>
      </c>
      <c r="F36" s="2" t="s">
        <v>184</v>
      </c>
      <c r="G36" s="2" t="s">
        <v>43</v>
      </c>
      <c r="H36" s="2" t="s">
        <v>44</v>
      </c>
    </row>
    <row r="37" spans="1:8" ht="28.5" x14ac:dyDescent="0.45">
      <c r="A37" s="2" t="s">
        <v>185</v>
      </c>
      <c r="B37" s="2" t="s">
        <v>55</v>
      </c>
      <c r="C37" s="2" t="s">
        <v>25</v>
      </c>
      <c r="D37" s="2" t="s">
        <v>186</v>
      </c>
      <c r="E37" s="2" t="s">
        <v>187</v>
      </c>
      <c r="F37" s="2" t="s">
        <v>188</v>
      </c>
      <c r="G37" s="2" t="s">
        <v>43</v>
      </c>
      <c r="H37" s="2" t="s">
        <v>44</v>
      </c>
    </row>
    <row r="38" spans="1:8" ht="28.5" x14ac:dyDescent="0.45">
      <c r="A38" s="2" t="s">
        <v>189</v>
      </c>
      <c r="B38" s="2" t="s">
        <v>46</v>
      </c>
      <c r="C38" s="2" t="s">
        <v>23</v>
      </c>
      <c r="D38" s="2" t="s">
        <v>190</v>
      </c>
      <c r="E38" s="2" t="s">
        <v>191</v>
      </c>
      <c r="F38" s="2" t="s">
        <v>192</v>
      </c>
      <c r="G38" s="2" t="s">
        <v>43</v>
      </c>
      <c r="H38" s="2" t="s">
        <v>44</v>
      </c>
    </row>
    <row r="39" spans="1:8" ht="28.5" x14ac:dyDescent="0.45">
      <c r="A39" s="2" t="s">
        <v>193</v>
      </c>
      <c r="B39" s="2" t="s">
        <v>55</v>
      </c>
      <c r="C39" s="2" t="s">
        <v>25</v>
      </c>
      <c r="D39" s="2" t="s">
        <v>194</v>
      </c>
      <c r="E39" s="2" t="s">
        <v>195</v>
      </c>
      <c r="F39" s="2" t="s">
        <v>147</v>
      </c>
      <c r="G39" s="2" t="s">
        <v>43</v>
      </c>
      <c r="H39" s="2" t="s">
        <v>44</v>
      </c>
    </row>
    <row r="40" spans="1:8" ht="28.5" x14ac:dyDescent="0.45">
      <c r="A40" s="2" t="s">
        <v>196</v>
      </c>
      <c r="B40" s="2" t="s">
        <v>128</v>
      </c>
      <c r="C40" s="2" t="s">
        <v>25</v>
      </c>
      <c r="D40" s="2" t="s">
        <v>197</v>
      </c>
      <c r="E40" s="2" t="s">
        <v>198</v>
      </c>
      <c r="F40" s="2" t="s">
        <v>199</v>
      </c>
      <c r="G40" s="2" t="s">
        <v>43</v>
      </c>
      <c r="H40" s="2" t="s">
        <v>44</v>
      </c>
    </row>
    <row r="41" spans="1:8" ht="28.5" x14ac:dyDescent="0.45">
      <c r="A41" s="2" t="s">
        <v>200</v>
      </c>
      <c r="B41" s="2" t="s">
        <v>55</v>
      </c>
      <c r="C41" s="2" t="s">
        <v>25</v>
      </c>
      <c r="D41" s="2" t="s">
        <v>201</v>
      </c>
      <c r="E41" s="2" t="s">
        <v>202</v>
      </c>
      <c r="F41" s="2" t="s">
        <v>203</v>
      </c>
      <c r="G41" s="2" t="s">
        <v>43</v>
      </c>
      <c r="H41" s="2" t="s">
        <v>44</v>
      </c>
    </row>
    <row r="42" spans="1:8" ht="71.25" x14ac:dyDescent="0.45">
      <c r="A42" s="2" t="s">
        <v>204</v>
      </c>
      <c r="B42" s="2" t="s">
        <v>55</v>
      </c>
      <c r="C42" s="2" t="s">
        <v>23</v>
      </c>
      <c r="D42" s="2" t="s">
        <v>205</v>
      </c>
      <c r="E42" s="2" t="s">
        <v>206</v>
      </c>
      <c r="F42" s="2" t="s">
        <v>207</v>
      </c>
      <c r="G42" s="2" t="s">
        <v>43</v>
      </c>
      <c r="H42" s="2" t="s">
        <v>44</v>
      </c>
    </row>
    <row r="43" spans="1:8" ht="28.5" x14ac:dyDescent="0.45">
      <c r="A43" s="2" t="s">
        <v>208</v>
      </c>
      <c r="B43" s="2" t="s">
        <v>99</v>
      </c>
      <c r="C43" s="2" t="s">
        <v>23</v>
      </c>
      <c r="D43" s="2" t="s">
        <v>209</v>
      </c>
      <c r="E43" s="2" t="s">
        <v>210</v>
      </c>
      <c r="F43" s="2" t="s">
        <v>211</v>
      </c>
      <c r="G43" s="2" t="s">
        <v>43</v>
      </c>
      <c r="H43" s="2"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tabSelected="1" workbookViewId="0">
      <selection activeCell="D2" sqref="D2"/>
    </sheetView>
  </sheetViews>
  <sheetFormatPr baseColWidth="10" defaultColWidth="9.06640625" defaultRowHeight="15" x14ac:dyDescent="0.4"/>
  <cols>
    <col min="1" max="1" width="11.46484375" style="11" bestFit="1" customWidth="1"/>
    <col min="2" max="2" width="11.33203125" style="11" bestFit="1" customWidth="1"/>
    <col min="3" max="3" width="37.86328125" style="11" bestFit="1" customWidth="1"/>
    <col min="4" max="4" width="66.265625" style="11" customWidth="1"/>
    <col min="5" max="5" width="13.265625" style="11" bestFit="1" customWidth="1"/>
    <col min="6" max="6" width="32.46484375" style="11" customWidth="1"/>
    <col min="7" max="7" width="12.73046875" style="11" bestFit="1" customWidth="1"/>
    <col min="8" max="16384" width="9.06640625" style="11"/>
  </cols>
  <sheetData>
    <row r="1" spans="1:7" x14ac:dyDescent="0.4">
      <c r="A1" s="22" t="s">
        <v>5</v>
      </c>
      <c r="B1" s="22" t="s">
        <v>212</v>
      </c>
      <c r="C1" s="22" t="s">
        <v>213</v>
      </c>
      <c r="D1" s="22" t="s">
        <v>214</v>
      </c>
      <c r="E1" s="22" t="s">
        <v>19</v>
      </c>
      <c r="F1" s="22" t="s">
        <v>215</v>
      </c>
      <c r="G1" s="22" t="s">
        <v>20</v>
      </c>
    </row>
    <row r="2" spans="1:7" x14ac:dyDescent="0.4">
      <c r="A2" s="12" t="s">
        <v>8</v>
      </c>
      <c r="B2" s="13" t="s">
        <v>216</v>
      </c>
      <c r="C2" s="13" t="s">
        <v>38</v>
      </c>
      <c r="D2" s="13" t="s">
        <v>217</v>
      </c>
      <c r="E2" s="10" t="s">
        <v>23</v>
      </c>
      <c r="F2" s="13" t="s">
        <v>218</v>
      </c>
      <c r="G2" s="13" t="s">
        <v>22</v>
      </c>
    </row>
    <row r="3" spans="1:7" ht="30" x14ac:dyDescent="0.4">
      <c r="A3" s="12" t="s">
        <v>8</v>
      </c>
      <c r="B3" s="13" t="s">
        <v>219</v>
      </c>
      <c r="C3" s="13" t="s">
        <v>220</v>
      </c>
      <c r="D3" s="13" t="s">
        <v>221</v>
      </c>
      <c r="E3" s="10" t="s">
        <v>23</v>
      </c>
      <c r="F3" s="13" t="s">
        <v>222</v>
      </c>
      <c r="G3" s="13" t="s">
        <v>22</v>
      </c>
    </row>
    <row r="4" spans="1:7" x14ac:dyDescent="0.4">
      <c r="A4" s="12" t="s">
        <v>8</v>
      </c>
      <c r="B4" s="13" t="s">
        <v>223</v>
      </c>
      <c r="C4" s="13" t="s">
        <v>224</v>
      </c>
      <c r="D4" s="13" t="s">
        <v>225</v>
      </c>
      <c r="E4" s="24" t="s">
        <v>21</v>
      </c>
      <c r="F4" s="13" t="s">
        <v>226</v>
      </c>
      <c r="G4" s="13" t="s">
        <v>22</v>
      </c>
    </row>
    <row r="5" spans="1:7" ht="30" x14ac:dyDescent="0.4">
      <c r="A5" s="12" t="s">
        <v>8</v>
      </c>
      <c r="B5" s="13" t="s">
        <v>227</v>
      </c>
      <c r="C5" s="13" t="s">
        <v>228</v>
      </c>
      <c r="D5" s="13" t="s">
        <v>229</v>
      </c>
      <c r="E5" s="24" t="s">
        <v>21</v>
      </c>
      <c r="F5" s="13" t="s">
        <v>226</v>
      </c>
      <c r="G5" s="13" t="s">
        <v>22</v>
      </c>
    </row>
    <row r="6" spans="1:7" ht="30" x14ac:dyDescent="0.4">
      <c r="A6" s="12" t="s">
        <v>8</v>
      </c>
      <c r="B6" s="13" t="s">
        <v>230</v>
      </c>
      <c r="C6" s="13" t="s">
        <v>231</v>
      </c>
      <c r="D6" s="13" t="s">
        <v>232</v>
      </c>
      <c r="E6" s="25" t="s">
        <v>23</v>
      </c>
      <c r="F6" s="13" t="s">
        <v>233</v>
      </c>
      <c r="G6" s="13" t="s">
        <v>22</v>
      </c>
    </row>
    <row r="7" spans="1:7" x14ac:dyDescent="0.4">
      <c r="A7" s="12" t="s">
        <v>8</v>
      </c>
      <c r="B7" s="13" t="s">
        <v>234</v>
      </c>
      <c r="C7" s="13" t="s">
        <v>235</v>
      </c>
      <c r="D7" s="13" t="s">
        <v>236</v>
      </c>
      <c r="E7" s="25" t="s">
        <v>23</v>
      </c>
      <c r="F7" s="13" t="s">
        <v>237</v>
      </c>
      <c r="G7" s="13" t="s">
        <v>22</v>
      </c>
    </row>
    <row r="8" spans="1:7" x14ac:dyDescent="0.4">
      <c r="A8" s="12" t="s">
        <v>8</v>
      </c>
      <c r="B8" s="13" t="s">
        <v>238</v>
      </c>
      <c r="C8" s="13" t="s">
        <v>62</v>
      </c>
      <c r="D8" s="13" t="s">
        <v>239</v>
      </c>
      <c r="E8" s="25" t="s">
        <v>23</v>
      </c>
      <c r="F8" s="13" t="s">
        <v>240</v>
      </c>
      <c r="G8" s="13" t="s">
        <v>22</v>
      </c>
    </row>
    <row r="9" spans="1:7" x14ac:dyDescent="0.4">
      <c r="A9" s="12" t="s">
        <v>8</v>
      </c>
      <c r="B9" s="13" t="s">
        <v>241</v>
      </c>
      <c r="C9" s="13" t="s">
        <v>66</v>
      </c>
      <c r="D9" s="13" t="s">
        <v>242</v>
      </c>
      <c r="E9" s="24" t="s">
        <v>21</v>
      </c>
      <c r="F9" s="13" t="s">
        <v>243</v>
      </c>
      <c r="G9" s="13" t="s">
        <v>22</v>
      </c>
    </row>
    <row r="10" spans="1:7" ht="30" x14ac:dyDescent="0.4">
      <c r="A10" s="12" t="s">
        <v>8</v>
      </c>
      <c r="B10" s="13" t="s">
        <v>244</v>
      </c>
      <c r="C10" s="13" t="s">
        <v>66</v>
      </c>
      <c r="D10" s="13" t="s">
        <v>245</v>
      </c>
      <c r="E10" s="24" t="s">
        <v>21</v>
      </c>
      <c r="F10" s="13" t="s">
        <v>246</v>
      </c>
      <c r="G10" s="13" t="s">
        <v>22</v>
      </c>
    </row>
    <row r="11" spans="1:7" x14ac:dyDescent="0.4">
      <c r="A11" s="12" t="s">
        <v>8</v>
      </c>
      <c r="B11" s="13" t="s">
        <v>247</v>
      </c>
      <c r="C11" s="13" t="s">
        <v>70</v>
      </c>
      <c r="D11" s="13" t="s">
        <v>248</v>
      </c>
      <c r="E11" s="25" t="s">
        <v>23</v>
      </c>
      <c r="F11" s="13" t="s">
        <v>243</v>
      </c>
      <c r="G11" s="13" t="s">
        <v>22</v>
      </c>
    </row>
    <row r="12" spans="1:7" x14ac:dyDescent="0.4">
      <c r="A12" s="12" t="s">
        <v>8</v>
      </c>
      <c r="B12" s="13" t="s">
        <v>249</v>
      </c>
      <c r="C12" s="13" t="s">
        <v>74</v>
      </c>
      <c r="D12" s="13" t="s">
        <v>250</v>
      </c>
      <c r="E12" s="24" t="s">
        <v>21</v>
      </c>
      <c r="F12" s="13" t="s">
        <v>251</v>
      </c>
      <c r="G12" s="13" t="s">
        <v>22</v>
      </c>
    </row>
    <row r="13" spans="1:7" x14ac:dyDescent="0.4">
      <c r="A13" s="12" t="s">
        <v>8</v>
      </c>
      <c r="B13" s="13" t="s">
        <v>252</v>
      </c>
      <c r="C13" s="13" t="s">
        <v>78</v>
      </c>
      <c r="D13" s="13" t="s">
        <v>253</v>
      </c>
      <c r="E13" s="25" t="s">
        <v>23</v>
      </c>
      <c r="F13" s="13" t="s">
        <v>254</v>
      </c>
      <c r="G13" s="13" t="s">
        <v>22</v>
      </c>
    </row>
    <row r="14" spans="1:7" x14ac:dyDescent="0.4">
      <c r="A14" s="12" t="s">
        <v>8</v>
      </c>
      <c r="B14" s="13" t="s">
        <v>255</v>
      </c>
      <c r="C14" s="13" t="s">
        <v>82</v>
      </c>
      <c r="D14" s="13" t="s">
        <v>256</v>
      </c>
      <c r="E14" s="25" t="s">
        <v>23</v>
      </c>
      <c r="F14" s="13" t="s">
        <v>257</v>
      </c>
      <c r="G14" s="13" t="s">
        <v>22</v>
      </c>
    </row>
    <row r="15" spans="1:7" ht="30" x14ac:dyDescent="0.4">
      <c r="A15" s="12" t="s">
        <v>8</v>
      </c>
      <c r="B15" s="13" t="s">
        <v>258</v>
      </c>
      <c r="C15" s="13" t="s">
        <v>86</v>
      </c>
      <c r="D15" s="13" t="s">
        <v>259</v>
      </c>
      <c r="E15" s="24" t="s">
        <v>21</v>
      </c>
      <c r="F15" s="13" t="s">
        <v>260</v>
      </c>
      <c r="G15" s="13" t="s">
        <v>22</v>
      </c>
    </row>
    <row r="16" spans="1:7" ht="30" x14ac:dyDescent="0.4">
      <c r="A16" s="12" t="s">
        <v>8</v>
      </c>
      <c r="B16" s="13" t="s">
        <v>261</v>
      </c>
      <c r="C16" s="13" t="s">
        <v>86</v>
      </c>
      <c r="D16" s="13" t="s">
        <v>262</v>
      </c>
      <c r="E16" s="24" t="s">
        <v>21</v>
      </c>
      <c r="F16" s="13" t="s">
        <v>263</v>
      </c>
      <c r="G16" s="13" t="s">
        <v>22</v>
      </c>
    </row>
    <row r="17" spans="1:7" x14ac:dyDescent="0.4">
      <c r="A17" s="12" t="s">
        <v>8</v>
      </c>
      <c r="B17" s="13" t="s">
        <v>264</v>
      </c>
      <c r="C17" s="13" t="s">
        <v>90</v>
      </c>
      <c r="D17" s="13" t="s">
        <v>265</v>
      </c>
      <c r="E17" s="24" t="s">
        <v>21</v>
      </c>
      <c r="F17" s="13" t="s">
        <v>226</v>
      </c>
      <c r="G17" s="13" t="s">
        <v>22</v>
      </c>
    </row>
    <row r="18" spans="1:7" x14ac:dyDescent="0.4">
      <c r="A18" s="12" t="s">
        <v>8</v>
      </c>
      <c r="B18" s="13" t="s">
        <v>266</v>
      </c>
      <c r="C18" s="13" t="s">
        <v>94</v>
      </c>
      <c r="D18" s="13" t="s">
        <v>267</v>
      </c>
      <c r="E18" s="24" t="s">
        <v>21</v>
      </c>
      <c r="F18" s="13" t="s">
        <v>268</v>
      </c>
      <c r="G18" s="13" t="s">
        <v>22</v>
      </c>
    </row>
    <row r="19" spans="1:7" x14ac:dyDescent="0.4">
      <c r="A19" s="12" t="s">
        <v>8</v>
      </c>
      <c r="B19" s="13" t="s">
        <v>269</v>
      </c>
      <c r="C19" s="13" t="s">
        <v>98</v>
      </c>
      <c r="D19" s="13" t="s">
        <v>270</v>
      </c>
      <c r="E19" s="24" t="s">
        <v>21</v>
      </c>
      <c r="F19" s="13" t="s">
        <v>271</v>
      </c>
      <c r="G19" s="13" t="s">
        <v>22</v>
      </c>
    </row>
    <row r="20" spans="1:7" ht="30" x14ac:dyDescent="0.4">
      <c r="A20" s="12" t="s">
        <v>8</v>
      </c>
      <c r="B20" s="13" t="s">
        <v>272</v>
      </c>
      <c r="C20" s="13" t="s">
        <v>103</v>
      </c>
      <c r="D20" s="13" t="s">
        <v>273</v>
      </c>
      <c r="E20" s="25" t="s">
        <v>23</v>
      </c>
      <c r="F20" s="13" t="s">
        <v>274</v>
      </c>
      <c r="G20" s="13" t="s">
        <v>22</v>
      </c>
    </row>
    <row r="21" spans="1:7" ht="30" x14ac:dyDescent="0.4">
      <c r="A21" s="12" t="s">
        <v>8</v>
      </c>
      <c r="B21" s="13" t="s">
        <v>275</v>
      </c>
      <c r="C21" s="13" t="s">
        <v>107</v>
      </c>
      <c r="D21" s="13" t="s">
        <v>276</v>
      </c>
      <c r="E21" s="25" t="s">
        <v>23</v>
      </c>
      <c r="F21" s="13" t="s">
        <v>277</v>
      </c>
      <c r="G21" s="13" t="s">
        <v>22</v>
      </c>
    </row>
    <row r="22" spans="1:7" ht="30" x14ac:dyDescent="0.4">
      <c r="A22" s="14" t="s">
        <v>10</v>
      </c>
      <c r="B22" s="15" t="s">
        <v>278</v>
      </c>
      <c r="C22" s="15" t="s">
        <v>111</v>
      </c>
      <c r="D22" s="15" t="s">
        <v>279</v>
      </c>
      <c r="E22" s="24" t="s">
        <v>21</v>
      </c>
      <c r="F22" s="15" t="s">
        <v>280</v>
      </c>
      <c r="G22" s="15" t="s">
        <v>22</v>
      </c>
    </row>
    <row r="23" spans="1:7" ht="30" x14ac:dyDescent="0.4">
      <c r="A23" s="14" t="s">
        <v>10</v>
      </c>
      <c r="B23" s="15" t="s">
        <v>281</v>
      </c>
      <c r="C23" s="15" t="s">
        <v>111</v>
      </c>
      <c r="D23" s="15" t="s">
        <v>282</v>
      </c>
      <c r="E23" s="24" t="s">
        <v>21</v>
      </c>
      <c r="F23" s="15" t="s">
        <v>283</v>
      </c>
      <c r="G23" s="15" t="s">
        <v>22</v>
      </c>
    </row>
    <row r="24" spans="1:7" x14ac:dyDescent="0.4">
      <c r="A24" s="14" t="s">
        <v>10</v>
      </c>
      <c r="B24" s="15" t="s">
        <v>284</v>
      </c>
      <c r="C24" s="15" t="s">
        <v>115</v>
      </c>
      <c r="D24" s="15" t="s">
        <v>285</v>
      </c>
      <c r="E24" s="24" t="s">
        <v>21</v>
      </c>
      <c r="F24" s="15" t="s">
        <v>268</v>
      </c>
      <c r="G24" s="15" t="s">
        <v>22</v>
      </c>
    </row>
    <row r="25" spans="1:7" x14ac:dyDescent="0.4">
      <c r="A25" s="14" t="s">
        <v>10</v>
      </c>
      <c r="B25" s="15" t="s">
        <v>286</v>
      </c>
      <c r="C25" s="15" t="s">
        <v>115</v>
      </c>
      <c r="D25" s="15" t="s">
        <v>287</v>
      </c>
      <c r="E25" s="24" t="s">
        <v>21</v>
      </c>
      <c r="F25" s="15" t="s">
        <v>288</v>
      </c>
      <c r="G25" s="15" t="s">
        <v>22</v>
      </c>
    </row>
    <row r="26" spans="1:7" x14ac:dyDescent="0.4">
      <c r="A26" s="14" t="s">
        <v>10</v>
      </c>
      <c r="B26" s="15" t="s">
        <v>289</v>
      </c>
      <c r="C26" s="15" t="s">
        <v>119</v>
      </c>
      <c r="D26" s="15" t="s">
        <v>290</v>
      </c>
      <c r="E26" s="24" t="s">
        <v>21</v>
      </c>
      <c r="F26" s="15" t="s">
        <v>271</v>
      </c>
      <c r="G26" s="15" t="s">
        <v>22</v>
      </c>
    </row>
    <row r="27" spans="1:7" ht="30" x14ac:dyDescent="0.4">
      <c r="A27" s="14" t="s">
        <v>10</v>
      </c>
      <c r="B27" s="15" t="s">
        <v>291</v>
      </c>
      <c r="C27" s="15" t="s">
        <v>123</v>
      </c>
      <c r="D27" s="15" t="s">
        <v>292</v>
      </c>
      <c r="E27" s="24" t="s">
        <v>21</v>
      </c>
      <c r="F27" s="15" t="s">
        <v>293</v>
      </c>
      <c r="G27" s="15" t="s">
        <v>22</v>
      </c>
    </row>
    <row r="28" spans="1:7" ht="15.4" thickBot="1" x14ac:dyDescent="0.45">
      <c r="A28" s="14" t="s">
        <v>10</v>
      </c>
      <c r="B28" s="15" t="s">
        <v>294</v>
      </c>
      <c r="C28" s="15" t="s">
        <v>127</v>
      </c>
      <c r="D28" s="15" t="s">
        <v>295</v>
      </c>
      <c r="E28" s="23" t="s">
        <v>25</v>
      </c>
      <c r="F28" s="15" t="s">
        <v>296</v>
      </c>
      <c r="G28" s="15" t="s">
        <v>22</v>
      </c>
    </row>
    <row r="29" spans="1:7" ht="15.4" thickTop="1" x14ac:dyDescent="0.4">
      <c r="A29" s="14" t="s">
        <v>10</v>
      </c>
      <c r="B29" s="15" t="s">
        <v>297</v>
      </c>
      <c r="C29" s="15" t="s">
        <v>132</v>
      </c>
      <c r="D29" s="15" t="s">
        <v>298</v>
      </c>
      <c r="E29" s="25" t="s">
        <v>23</v>
      </c>
      <c r="F29" s="15" t="s">
        <v>299</v>
      </c>
      <c r="G29" s="15" t="s">
        <v>22</v>
      </c>
    </row>
    <row r="30" spans="1:7" ht="30" x14ac:dyDescent="0.4">
      <c r="A30" s="14" t="s">
        <v>10</v>
      </c>
      <c r="B30" s="15" t="s">
        <v>300</v>
      </c>
      <c r="C30" s="15" t="s">
        <v>136</v>
      </c>
      <c r="D30" s="15" t="s">
        <v>301</v>
      </c>
      <c r="E30" s="25" t="s">
        <v>23</v>
      </c>
      <c r="F30" s="15" t="s">
        <v>302</v>
      </c>
      <c r="G30" s="15" t="s">
        <v>22</v>
      </c>
    </row>
    <row r="31" spans="1:7" ht="30" x14ac:dyDescent="0.4">
      <c r="A31" s="14" t="s">
        <v>10</v>
      </c>
      <c r="B31" s="15" t="s">
        <v>303</v>
      </c>
      <c r="C31" s="15" t="s">
        <v>140</v>
      </c>
      <c r="D31" s="15" t="s">
        <v>304</v>
      </c>
      <c r="E31" s="25" t="s">
        <v>23</v>
      </c>
      <c r="F31" s="15" t="s">
        <v>257</v>
      </c>
      <c r="G31" s="15" t="s">
        <v>22</v>
      </c>
    </row>
    <row r="32" spans="1:7" ht="15.4" thickBot="1" x14ac:dyDescent="0.45">
      <c r="A32" s="14" t="s">
        <v>10</v>
      </c>
      <c r="B32" s="15" t="s">
        <v>305</v>
      </c>
      <c r="C32" s="15" t="s">
        <v>144</v>
      </c>
      <c r="D32" s="15" t="s">
        <v>306</v>
      </c>
      <c r="E32" s="23" t="s">
        <v>25</v>
      </c>
      <c r="F32" s="15" t="s">
        <v>257</v>
      </c>
      <c r="G32" s="15" t="s">
        <v>22</v>
      </c>
    </row>
    <row r="33" spans="1:7" ht="30.4" thickTop="1" x14ac:dyDescent="0.4">
      <c r="A33" s="14" t="s">
        <v>10</v>
      </c>
      <c r="B33" s="15" t="s">
        <v>307</v>
      </c>
      <c r="C33" s="15" t="s">
        <v>148</v>
      </c>
      <c r="D33" s="15" t="s">
        <v>308</v>
      </c>
      <c r="E33" s="25" t="s">
        <v>23</v>
      </c>
      <c r="F33" s="15" t="s">
        <v>309</v>
      </c>
      <c r="G33" s="15" t="s">
        <v>22</v>
      </c>
    </row>
    <row r="34" spans="1:7" ht="15.4" thickBot="1" x14ac:dyDescent="0.45">
      <c r="A34" s="14" t="s">
        <v>10</v>
      </c>
      <c r="B34" s="15" t="s">
        <v>310</v>
      </c>
      <c r="C34" s="15" t="s">
        <v>152</v>
      </c>
      <c r="D34" s="15" t="s">
        <v>311</v>
      </c>
      <c r="E34" s="23" t="s">
        <v>25</v>
      </c>
      <c r="F34" s="15" t="s">
        <v>312</v>
      </c>
      <c r="G34" s="15" t="s">
        <v>22</v>
      </c>
    </row>
    <row r="35" spans="1:7" ht="15.75" thickTop="1" thickBot="1" x14ac:dyDescent="0.45">
      <c r="A35" s="14" t="s">
        <v>10</v>
      </c>
      <c r="B35" s="15" t="s">
        <v>313</v>
      </c>
      <c r="C35" s="15" t="s">
        <v>157</v>
      </c>
      <c r="D35" s="15" t="s">
        <v>314</v>
      </c>
      <c r="E35" s="23" t="s">
        <v>25</v>
      </c>
      <c r="F35" s="15" t="s">
        <v>315</v>
      </c>
      <c r="G35" s="15" t="s">
        <v>22</v>
      </c>
    </row>
    <row r="36" spans="1:7" ht="15.4" thickTop="1" x14ac:dyDescent="0.4">
      <c r="A36" s="14" t="s">
        <v>10</v>
      </c>
      <c r="B36" s="15" t="s">
        <v>316</v>
      </c>
      <c r="C36" s="15" t="s">
        <v>161</v>
      </c>
      <c r="D36" s="15" t="s">
        <v>317</v>
      </c>
      <c r="E36" s="25" t="s">
        <v>23</v>
      </c>
      <c r="F36" s="15" t="s">
        <v>318</v>
      </c>
      <c r="G36" s="15" t="s">
        <v>22</v>
      </c>
    </row>
    <row r="37" spans="1:7" ht="30" x14ac:dyDescent="0.4">
      <c r="A37" s="14" t="s">
        <v>10</v>
      </c>
      <c r="B37" s="15" t="s">
        <v>319</v>
      </c>
      <c r="C37" s="15" t="s">
        <v>161</v>
      </c>
      <c r="D37" s="15" t="s">
        <v>320</v>
      </c>
      <c r="E37" s="25" t="s">
        <v>23</v>
      </c>
      <c r="F37" s="15" t="s">
        <v>302</v>
      </c>
      <c r="G37" s="15" t="s">
        <v>22</v>
      </c>
    </row>
    <row r="38" spans="1:7" ht="30.4" thickBot="1" x14ac:dyDescent="0.45">
      <c r="A38" s="16" t="s">
        <v>12</v>
      </c>
      <c r="B38" s="17" t="s">
        <v>321</v>
      </c>
      <c r="C38" s="17" t="s">
        <v>165</v>
      </c>
      <c r="D38" s="17" t="s">
        <v>322</v>
      </c>
      <c r="E38" s="23" t="s">
        <v>25</v>
      </c>
      <c r="F38" s="17" t="s">
        <v>323</v>
      </c>
      <c r="G38" s="17" t="s">
        <v>22</v>
      </c>
    </row>
    <row r="39" spans="1:7" ht="30.4" thickTop="1" x14ac:dyDescent="0.4">
      <c r="A39" s="16" t="s">
        <v>12</v>
      </c>
      <c r="B39" s="17" t="s">
        <v>324</v>
      </c>
      <c r="C39" s="17" t="s">
        <v>169</v>
      </c>
      <c r="D39" s="17" t="s">
        <v>325</v>
      </c>
      <c r="E39" s="25" t="s">
        <v>23</v>
      </c>
      <c r="F39" s="17" t="s">
        <v>302</v>
      </c>
      <c r="G39" s="17" t="s">
        <v>22</v>
      </c>
    </row>
    <row r="40" spans="1:7" ht="30.4" thickBot="1" x14ac:dyDescent="0.45">
      <c r="A40" s="16" t="s">
        <v>12</v>
      </c>
      <c r="B40" s="17" t="s">
        <v>326</v>
      </c>
      <c r="C40" s="17" t="s">
        <v>173</v>
      </c>
      <c r="D40" s="17" t="s">
        <v>327</v>
      </c>
      <c r="E40" s="23" t="s">
        <v>25</v>
      </c>
      <c r="F40" s="17" t="s">
        <v>328</v>
      </c>
      <c r="G40" s="17" t="s">
        <v>22</v>
      </c>
    </row>
    <row r="41" spans="1:7" ht="15.4" thickTop="1" x14ac:dyDescent="0.4">
      <c r="A41" s="16" t="s">
        <v>12</v>
      </c>
      <c r="B41" s="17" t="s">
        <v>329</v>
      </c>
      <c r="C41" s="17" t="s">
        <v>177</v>
      </c>
      <c r="D41" s="17" t="s">
        <v>330</v>
      </c>
      <c r="E41" s="25" t="s">
        <v>23</v>
      </c>
      <c r="F41" s="17" t="s">
        <v>302</v>
      </c>
      <c r="G41" s="17" t="s">
        <v>22</v>
      </c>
    </row>
    <row r="42" spans="1:7" ht="30" x14ac:dyDescent="0.4">
      <c r="A42" s="18" t="s">
        <v>14</v>
      </c>
      <c r="B42" s="19" t="s">
        <v>331</v>
      </c>
      <c r="C42" s="19" t="s">
        <v>181</v>
      </c>
      <c r="D42" s="19" t="s">
        <v>332</v>
      </c>
      <c r="E42" s="25" t="s">
        <v>23</v>
      </c>
      <c r="F42" s="19" t="s">
        <v>333</v>
      </c>
      <c r="G42" s="19" t="s">
        <v>22</v>
      </c>
    </row>
    <row r="43" spans="1:7" ht="15.4" thickBot="1" x14ac:dyDescent="0.45">
      <c r="A43" s="18" t="s">
        <v>14</v>
      </c>
      <c r="B43" s="19" t="s">
        <v>334</v>
      </c>
      <c r="C43" s="19" t="s">
        <v>185</v>
      </c>
      <c r="D43" s="19" t="s">
        <v>335</v>
      </c>
      <c r="E43" s="23" t="s">
        <v>25</v>
      </c>
      <c r="F43" s="19" t="s">
        <v>257</v>
      </c>
      <c r="G43" s="19" t="s">
        <v>22</v>
      </c>
    </row>
    <row r="44" spans="1:7" ht="30.4" thickTop="1" x14ac:dyDescent="0.4">
      <c r="A44" s="18" t="s">
        <v>14</v>
      </c>
      <c r="B44" s="19" t="s">
        <v>336</v>
      </c>
      <c r="C44" s="19" t="s">
        <v>189</v>
      </c>
      <c r="D44" s="19" t="s">
        <v>337</v>
      </c>
      <c r="E44" s="25" t="s">
        <v>23</v>
      </c>
      <c r="F44" s="19" t="s">
        <v>333</v>
      </c>
      <c r="G44" s="19" t="s">
        <v>22</v>
      </c>
    </row>
    <row r="45" spans="1:7" ht="15.4" thickBot="1" x14ac:dyDescent="0.45">
      <c r="A45" s="18" t="s">
        <v>14</v>
      </c>
      <c r="B45" s="19" t="s">
        <v>338</v>
      </c>
      <c r="C45" s="19" t="s">
        <v>193</v>
      </c>
      <c r="D45" s="19" t="s">
        <v>339</v>
      </c>
      <c r="E45" s="23" t="s">
        <v>25</v>
      </c>
      <c r="F45" s="19" t="s">
        <v>257</v>
      </c>
      <c r="G45" s="19" t="s">
        <v>22</v>
      </c>
    </row>
    <row r="46" spans="1:7" ht="15.75" thickTop="1" thickBot="1" x14ac:dyDescent="0.45">
      <c r="A46" s="18" t="s">
        <v>14</v>
      </c>
      <c r="B46" s="19" t="s">
        <v>340</v>
      </c>
      <c r="C46" s="19" t="s">
        <v>196</v>
      </c>
      <c r="D46" s="19" t="s">
        <v>341</v>
      </c>
      <c r="E46" s="23" t="s">
        <v>25</v>
      </c>
      <c r="F46" s="19" t="s">
        <v>296</v>
      </c>
      <c r="G46" s="19" t="s">
        <v>22</v>
      </c>
    </row>
    <row r="47" spans="1:7" ht="30.75" thickTop="1" thickBot="1" x14ac:dyDescent="0.45">
      <c r="A47" s="20" t="s">
        <v>16</v>
      </c>
      <c r="B47" s="21" t="s">
        <v>342</v>
      </c>
      <c r="C47" s="21" t="s">
        <v>200</v>
      </c>
      <c r="D47" s="21" t="s">
        <v>343</v>
      </c>
      <c r="E47" s="23" t="s">
        <v>25</v>
      </c>
      <c r="F47" s="21" t="s">
        <v>257</v>
      </c>
      <c r="G47" s="21" t="s">
        <v>22</v>
      </c>
    </row>
    <row r="48" spans="1:7" ht="30.4" thickTop="1" x14ac:dyDescent="0.4">
      <c r="A48" s="20" t="s">
        <v>16</v>
      </c>
      <c r="B48" s="21" t="s">
        <v>344</v>
      </c>
      <c r="C48" s="21" t="s">
        <v>204</v>
      </c>
      <c r="D48" s="21" t="s">
        <v>345</v>
      </c>
      <c r="E48" s="25" t="s">
        <v>23</v>
      </c>
      <c r="F48" s="21" t="s">
        <v>257</v>
      </c>
      <c r="G48" s="21" t="s">
        <v>22</v>
      </c>
    </row>
    <row r="49" spans="1:7" ht="30" x14ac:dyDescent="0.4">
      <c r="A49" s="20" t="s">
        <v>16</v>
      </c>
      <c r="B49" s="21" t="s">
        <v>346</v>
      </c>
      <c r="C49" s="21" t="s">
        <v>208</v>
      </c>
      <c r="D49" s="21" t="s">
        <v>347</v>
      </c>
      <c r="E49" s="25" t="s">
        <v>23</v>
      </c>
      <c r="F49" s="21" t="s">
        <v>348</v>
      </c>
      <c r="G49" s="21" t="s">
        <v>22</v>
      </c>
    </row>
  </sheetData>
  <phoneticPr fontId="10" type="noConversion"/>
  <conditionalFormatting sqref="A1:A1048576">
    <cfRule type="cellIs" dxfId="13" priority="3" operator="equal">
      <formula>"Sprint 1"</formula>
    </cfRule>
    <cfRule type="cellIs" dxfId="14" priority="2" operator="equal">
      <formula>"Sprint 2"</formula>
    </cfRule>
    <cfRule type="cellIs" dxfId="12" priority="1" operator="equal">
      <formula>"Sprint 2"</formula>
    </cfRule>
  </conditionalFormatting>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topLeftCell="A10" workbookViewId="0">
      <selection activeCell="C21" sqref="C21"/>
    </sheetView>
  </sheetViews>
  <sheetFormatPr baseColWidth="10" defaultColWidth="9.06640625" defaultRowHeight="14.25" x14ac:dyDescent="0.45"/>
  <cols>
    <col min="1" max="1" width="12" customWidth="1"/>
    <col min="2" max="2" width="40" customWidth="1"/>
    <col min="3" max="3" width="45" customWidth="1"/>
    <col min="4" max="4" width="55" customWidth="1"/>
    <col min="5" max="5" width="38" customWidth="1"/>
    <col min="6" max="6" width="55" customWidth="1"/>
    <col min="7" max="7" width="32" customWidth="1"/>
    <col min="8" max="8" width="55" customWidth="1"/>
    <col min="9" max="9" width="10" customWidth="1"/>
    <col min="10" max="10" width="18" customWidth="1"/>
    <col min="11" max="11" width="14" customWidth="1"/>
  </cols>
  <sheetData>
    <row r="1" spans="1:11" ht="12" customHeight="1" x14ac:dyDescent="0.45">
      <c r="A1" s="1" t="s">
        <v>212</v>
      </c>
      <c r="B1" s="1" t="s">
        <v>213</v>
      </c>
      <c r="C1" s="1" t="s">
        <v>214</v>
      </c>
      <c r="D1" s="1" t="s">
        <v>349</v>
      </c>
      <c r="E1" s="1" t="s">
        <v>350</v>
      </c>
      <c r="F1" s="1" t="s">
        <v>351</v>
      </c>
      <c r="G1" s="1" t="s">
        <v>352</v>
      </c>
      <c r="H1" s="1" t="s">
        <v>353</v>
      </c>
      <c r="I1" s="1" t="s">
        <v>19</v>
      </c>
      <c r="J1" s="1" t="s">
        <v>215</v>
      </c>
      <c r="K1" s="1" t="s">
        <v>20</v>
      </c>
    </row>
    <row r="2" spans="1:11" ht="45" customHeight="1" x14ac:dyDescent="0.45">
      <c r="A2" s="2" t="s">
        <v>216</v>
      </c>
      <c r="B2" s="2" t="s">
        <v>38</v>
      </c>
      <c r="C2" s="2" t="s">
        <v>217</v>
      </c>
      <c r="D2" s="2" t="s">
        <v>354</v>
      </c>
      <c r="E2" s="2" t="s">
        <v>355</v>
      </c>
      <c r="F2" s="2" t="s">
        <v>356</v>
      </c>
      <c r="G2" s="2" t="s">
        <v>357</v>
      </c>
      <c r="H2" s="2" t="s">
        <v>358</v>
      </c>
      <c r="I2" s="2" t="s">
        <v>23</v>
      </c>
      <c r="J2" s="2" t="s">
        <v>218</v>
      </c>
      <c r="K2" s="2" t="s">
        <v>22</v>
      </c>
    </row>
    <row r="3" spans="1:11" ht="45" customHeight="1" x14ac:dyDescent="0.45">
      <c r="A3" s="2" t="s">
        <v>219</v>
      </c>
      <c r="B3" s="2" t="s">
        <v>220</v>
      </c>
      <c r="C3" s="2" t="s">
        <v>221</v>
      </c>
      <c r="D3" s="2" t="s">
        <v>359</v>
      </c>
      <c r="E3" s="2" t="s">
        <v>360</v>
      </c>
      <c r="F3" s="2" t="s">
        <v>361</v>
      </c>
      <c r="G3" s="2" t="s">
        <v>362</v>
      </c>
      <c r="H3" s="2" t="s">
        <v>363</v>
      </c>
      <c r="I3" s="2" t="s">
        <v>23</v>
      </c>
      <c r="J3" s="2" t="s">
        <v>222</v>
      </c>
      <c r="K3" s="2" t="s">
        <v>22</v>
      </c>
    </row>
    <row r="4" spans="1:11" ht="45" customHeight="1" x14ac:dyDescent="0.45">
      <c r="A4" s="2" t="s">
        <v>223</v>
      </c>
      <c r="B4" s="2" t="s">
        <v>224</v>
      </c>
      <c r="C4" s="2" t="s">
        <v>225</v>
      </c>
      <c r="D4" s="2" t="s">
        <v>364</v>
      </c>
      <c r="E4" s="2" t="s">
        <v>365</v>
      </c>
      <c r="F4" s="2" t="s">
        <v>366</v>
      </c>
      <c r="G4" s="2" t="s">
        <v>367</v>
      </c>
      <c r="H4" s="2" t="s">
        <v>368</v>
      </c>
      <c r="I4" s="2" t="s">
        <v>21</v>
      </c>
      <c r="J4" s="2" t="s">
        <v>226</v>
      </c>
      <c r="K4" s="2" t="s">
        <v>22</v>
      </c>
    </row>
    <row r="5" spans="1:11" ht="45" customHeight="1" x14ac:dyDescent="0.45">
      <c r="A5" s="2" t="s">
        <v>227</v>
      </c>
      <c r="B5" s="2" t="s">
        <v>228</v>
      </c>
      <c r="C5" s="2" t="s">
        <v>229</v>
      </c>
      <c r="D5" s="2" t="s">
        <v>369</v>
      </c>
      <c r="E5" s="2" t="s">
        <v>370</v>
      </c>
      <c r="F5" s="2" t="s">
        <v>371</v>
      </c>
      <c r="G5" s="2" t="s">
        <v>372</v>
      </c>
      <c r="H5" s="2" t="s">
        <v>373</v>
      </c>
      <c r="I5" s="2" t="s">
        <v>21</v>
      </c>
      <c r="J5" s="2" t="s">
        <v>226</v>
      </c>
      <c r="K5" s="2" t="s">
        <v>22</v>
      </c>
    </row>
    <row r="6" spans="1:11" ht="45" customHeight="1" x14ac:dyDescent="0.45">
      <c r="A6" s="2" t="s">
        <v>230</v>
      </c>
      <c r="B6" s="2" t="s">
        <v>231</v>
      </c>
      <c r="C6" s="2" t="s">
        <v>232</v>
      </c>
      <c r="D6" s="2" t="s">
        <v>374</v>
      </c>
      <c r="E6" s="2" t="s">
        <v>375</v>
      </c>
      <c r="F6" s="2" t="s">
        <v>376</v>
      </c>
      <c r="G6" s="2" t="s">
        <v>377</v>
      </c>
      <c r="H6" s="2" t="s">
        <v>378</v>
      </c>
      <c r="I6" s="2" t="s">
        <v>23</v>
      </c>
      <c r="J6" s="2" t="s">
        <v>233</v>
      </c>
      <c r="K6" s="2" t="s">
        <v>22</v>
      </c>
    </row>
    <row r="7" spans="1:11" ht="45" customHeight="1" x14ac:dyDescent="0.45">
      <c r="A7" s="2" t="s">
        <v>234</v>
      </c>
      <c r="B7" s="2" t="s">
        <v>235</v>
      </c>
      <c r="C7" s="2" t="s">
        <v>236</v>
      </c>
      <c r="D7" s="2" t="s">
        <v>379</v>
      </c>
      <c r="E7" s="2" t="s">
        <v>380</v>
      </c>
      <c r="F7" s="2" t="s">
        <v>381</v>
      </c>
      <c r="G7" s="2" t="s">
        <v>382</v>
      </c>
      <c r="H7" s="2" t="s">
        <v>383</v>
      </c>
      <c r="I7" s="2" t="s">
        <v>23</v>
      </c>
      <c r="J7" s="2" t="s">
        <v>237</v>
      </c>
      <c r="K7" s="2" t="s">
        <v>22</v>
      </c>
    </row>
    <row r="8" spans="1:11" ht="45" customHeight="1" x14ac:dyDescent="0.45">
      <c r="A8" s="2" t="s">
        <v>238</v>
      </c>
      <c r="B8" s="2" t="s">
        <v>62</v>
      </c>
      <c r="C8" s="2" t="s">
        <v>239</v>
      </c>
      <c r="D8" s="2" t="s">
        <v>384</v>
      </c>
      <c r="E8" s="2" t="s">
        <v>385</v>
      </c>
      <c r="F8" s="2" t="s">
        <v>386</v>
      </c>
      <c r="G8" s="2" t="s">
        <v>387</v>
      </c>
      <c r="H8" s="2" t="s">
        <v>388</v>
      </c>
      <c r="I8" s="2" t="s">
        <v>23</v>
      </c>
      <c r="J8" s="2" t="s">
        <v>240</v>
      </c>
      <c r="K8" s="2" t="s">
        <v>22</v>
      </c>
    </row>
    <row r="9" spans="1:11" ht="45" customHeight="1" x14ac:dyDescent="0.45">
      <c r="A9" s="2" t="s">
        <v>241</v>
      </c>
      <c r="B9" s="2" t="s">
        <v>66</v>
      </c>
      <c r="C9" s="2" t="s">
        <v>242</v>
      </c>
      <c r="D9" s="2" t="s">
        <v>389</v>
      </c>
      <c r="E9" s="2" t="s">
        <v>390</v>
      </c>
      <c r="F9" s="2" t="s">
        <v>391</v>
      </c>
      <c r="G9" s="2" t="s">
        <v>392</v>
      </c>
      <c r="H9" s="2" t="s">
        <v>393</v>
      </c>
      <c r="I9" s="2" t="s">
        <v>21</v>
      </c>
      <c r="J9" s="2" t="s">
        <v>243</v>
      </c>
      <c r="K9" s="2" t="s">
        <v>22</v>
      </c>
    </row>
    <row r="10" spans="1:11" ht="45" customHeight="1" x14ac:dyDescent="0.45">
      <c r="A10" s="2" t="s">
        <v>244</v>
      </c>
      <c r="B10" s="2" t="s">
        <v>66</v>
      </c>
      <c r="C10" s="2" t="s">
        <v>245</v>
      </c>
      <c r="D10" s="2" t="s">
        <v>394</v>
      </c>
      <c r="E10" s="2" t="s">
        <v>390</v>
      </c>
      <c r="F10" s="2" t="s">
        <v>395</v>
      </c>
      <c r="G10" s="2" t="s">
        <v>396</v>
      </c>
      <c r="H10" s="2" t="s">
        <v>397</v>
      </c>
      <c r="I10" s="2" t="s">
        <v>21</v>
      </c>
      <c r="J10" s="2" t="s">
        <v>246</v>
      </c>
      <c r="K10" s="2" t="s">
        <v>22</v>
      </c>
    </row>
    <row r="11" spans="1:11" ht="45" customHeight="1" x14ac:dyDescent="0.45">
      <c r="A11" s="2" t="s">
        <v>247</v>
      </c>
      <c r="B11" s="2" t="s">
        <v>70</v>
      </c>
      <c r="C11" s="2" t="s">
        <v>248</v>
      </c>
      <c r="D11" s="2" t="s">
        <v>398</v>
      </c>
      <c r="E11" s="2" t="s">
        <v>399</v>
      </c>
      <c r="F11" s="2" t="s">
        <v>400</v>
      </c>
      <c r="G11" s="2" t="s">
        <v>401</v>
      </c>
      <c r="H11" s="2" t="s">
        <v>402</v>
      </c>
      <c r="I11" s="2" t="s">
        <v>23</v>
      </c>
      <c r="J11" s="2" t="s">
        <v>243</v>
      </c>
      <c r="K11" s="2" t="s">
        <v>22</v>
      </c>
    </row>
    <row r="12" spans="1:11" ht="45" customHeight="1" x14ac:dyDescent="0.45">
      <c r="A12" s="2" t="s">
        <v>249</v>
      </c>
      <c r="B12" s="2" t="s">
        <v>74</v>
      </c>
      <c r="C12" s="2" t="s">
        <v>250</v>
      </c>
      <c r="D12" s="2" t="s">
        <v>403</v>
      </c>
      <c r="E12" s="2" t="s">
        <v>404</v>
      </c>
      <c r="F12" s="2" t="s">
        <v>405</v>
      </c>
      <c r="G12" s="2" t="s">
        <v>406</v>
      </c>
      <c r="H12" s="2" t="s">
        <v>407</v>
      </c>
      <c r="I12" s="2" t="s">
        <v>21</v>
      </c>
      <c r="J12" s="2" t="s">
        <v>251</v>
      </c>
      <c r="K12" s="2" t="s">
        <v>22</v>
      </c>
    </row>
    <row r="13" spans="1:11" ht="45" customHeight="1" x14ac:dyDescent="0.45">
      <c r="A13" s="2" t="s">
        <v>252</v>
      </c>
      <c r="B13" s="2" t="s">
        <v>78</v>
      </c>
      <c r="C13" s="2" t="s">
        <v>253</v>
      </c>
      <c r="D13" s="2" t="s">
        <v>408</v>
      </c>
      <c r="E13" s="2" t="s">
        <v>409</v>
      </c>
      <c r="F13" s="2" t="s">
        <v>410</v>
      </c>
      <c r="G13" s="2" t="s">
        <v>411</v>
      </c>
      <c r="H13" s="2" t="s">
        <v>412</v>
      </c>
      <c r="I13" s="2" t="s">
        <v>23</v>
      </c>
      <c r="J13" s="2" t="s">
        <v>254</v>
      </c>
      <c r="K13" s="2" t="s">
        <v>22</v>
      </c>
    </row>
    <row r="14" spans="1:11" ht="45" customHeight="1" x14ac:dyDescent="0.45">
      <c r="A14" s="2" t="s">
        <v>255</v>
      </c>
      <c r="B14" s="2" t="s">
        <v>82</v>
      </c>
      <c r="C14" s="2" t="s">
        <v>256</v>
      </c>
      <c r="D14" s="2" t="s">
        <v>413</v>
      </c>
      <c r="E14" s="2" t="s">
        <v>414</v>
      </c>
      <c r="F14" s="2" t="s">
        <v>415</v>
      </c>
      <c r="G14" s="2" t="s">
        <v>416</v>
      </c>
      <c r="H14" s="2" t="s">
        <v>417</v>
      </c>
      <c r="I14" s="2" t="s">
        <v>23</v>
      </c>
      <c r="J14" s="2" t="s">
        <v>257</v>
      </c>
      <c r="K14" s="2" t="s">
        <v>22</v>
      </c>
    </row>
    <row r="15" spans="1:11" ht="45" customHeight="1" x14ac:dyDescent="0.45">
      <c r="A15" s="2" t="s">
        <v>258</v>
      </c>
      <c r="B15" s="2" t="s">
        <v>86</v>
      </c>
      <c r="C15" s="2" t="s">
        <v>259</v>
      </c>
      <c r="D15" s="2" t="s">
        <v>418</v>
      </c>
      <c r="E15" s="2" t="s">
        <v>419</v>
      </c>
      <c r="F15" s="2" t="s">
        <v>420</v>
      </c>
      <c r="G15" s="2" t="s">
        <v>421</v>
      </c>
      <c r="H15" s="2" t="s">
        <v>422</v>
      </c>
      <c r="I15" s="2" t="s">
        <v>21</v>
      </c>
      <c r="J15" s="2" t="s">
        <v>260</v>
      </c>
      <c r="K15" s="2" t="s">
        <v>22</v>
      </c>
    </row>
    <row r="16" spans="1:11" ht="45" customHeight="1" x14ac:dyDescent="0.45">
      <c r="A16" s="2" t="s">
        <v>261</v>
      </c>
      <c r="B16" s="2" t="s">
        <v>86</v>
      </c>
      <c r="C16" s="2" t="s">
        <v>262</v>
      </c>
      <c r="D16" s="2" t="s">
        <v>423</v>
      </c>
      <c r="E16" s="2" t="s">
        <v>390</v>
      </c>
      <c r="F16" s="2" t="s">
        <v>424</v>
      </c>
      <c r="G16" s="2" t="s">
        <v>425</v>
      </c>
      <c r="H16" s="2" t="s">
        <v>426</v>
      </c>
      <c r="I16" s="2" t="s">
        <v>21</v>
      </c>
      <c r="J16" s="2" t="s">
        <v>263</v>
      </c>
      <c r="K16" s="2" t="s">
        <v>22</v>
      </c>
    </row>
    <row r="17" spans="1:11" ht="45" customHeight="1" x14ac:dyDescent="0.45">
      <c r="A17" s="2" t="s">
        <v>264</v>
      </c>
      <c r="B17" s="2" t="s">
        <v>90</v>
      </c>
      <c r="C17" s="2" t="s">
        <v>265</v>
      </c>
      <c r="D17" s="2" t="s">
        <v>427</v>
      </c>
      <c r="E17" s="2" t="s">
        <v>428</v>
      </c>
      <c r="F17" s="2" t="s">
        <v>429</v>
      </c>
      <c r="G17" s="2" t="s">
        <v>430</v>
      </c>
      <c r="H17" s="2" t="s">
        <v>431</v>
      </c>
      <c r="I17" s="2" t="s">
        <v>21</v>
      </c>
      <c r="J17" s="2" t="s">
        <v>226</v>
      </c>
      <c r="K17" s="2" t="s">
        <v>22</v>
      </c>
    </row>
    <row r="18" spans="1:11" ht="45" customHeight="1" x14ac:dyDescent="0.45">
      <c r="A18" s="2" t="s">
        <v>266</v>
      </c>
      <c r="B18" s="2" t="s">
        <v>94</v>
      </c>
      <c r="C18" s="2" t="s">
        <v>267</v>
      </c>
      <c r="D18" s="2" t="s">
        <v>432</v>
      </c>
      <c r="E18" s="2" t="s">
        <v>433</v>
      </c>
      <c r="F18" s="2" t="s">
        <v>434</v>
      </c>
      <c r="G18" s="2" t="s">
        <v>435</v>
      </c>
      <c r="H18" s="2" t="s">
        <v>436</v>
      </c>
      <c r="I18" s="2" t="s">
        <v>21</v>
      </c>
      <c r="J18" s="2" t="s">
        <v>268</v>
      </c>
      <c r="K18" s="2" t="s">
        <v>22</v>
      </c>
    </row>
    <row r="19" spans="1:11" ht="45" customHeight="1" x14ac:dyDescent="0.45">
      <c r="A19" s="2" t="s">
        <v>269</v>
      </c>
      <c r="B19" s="2" t="s">
        <v>98</v>
      </c>
      <c r="C19" s="2" t="s">
        <v>270</v>
      </c>
      <c r="D19" s="2" t="s">
        <v>437</v>
      </c>
      <c r="E19" s="2" t="s">
        <v>438</v>
      </c>
      <c r="F19" s="2" t="s">
        <v>439</v>
      </c>
      <c r="G19" s="2" t="s">
        <v>440</v>
      </c>
      <c r="H19" s="2" t="s">
        <v>441</v>
      </c>
      <c r="I19" s="2" t="s">
        <v>21</v>
      </c>
      <c r="J19" s="2" t="s">
        <v>271</v>
      </c>
      <c r="K19" s="2" t="s">
        <v>22</v>
      </c>
    </row>
    <row r="20" spans="1:11" ht="45" customHeight="1" x14ac:dyDescent="0.45">
      <c r="A20" s="2" t="s">
        <v>272</v>
      </c>
      <c r="B20" s="2" t="s">
        <v>103</v>
      </c>
      <c r="C20" s="2" t="s">
        <v>273</v>
      </c>
      <c r="D20" s="2" t="s">
        <v>442</v>
      </c>
      <c r="E20" s="2" t="s">
        <v>443</v>
      </c>
      <c r="F20" s="2" t="s">
        <v>444</v>
      </c>
      <c r="G20" s="2" t="s">
        <v>445</v>
      </c>
      <c r="H20" s="2" t="s">
        <v>446</v>
      </c>
      <c r="I20" s="2" t="s">
        <v>23</v>
      </c>
      <c r="J20" s="2" t="s">
        <v>274</v>
      </c>
      <c r="K20" s="2" t="s">
        <v>22</v>
      </c>
    </row>
    <row r="21" spans="1:11" ht="45" customHeight="1" x14ac:dyDescent="0.45">
      <c r="A21" s="2" t="s">
        <v>275</v>
      </c>
      <c r="B21" s="2" t="s">
        <v>107</v>
      </c>
      <c r="C21" s="2" t="s">
        <v>276</v>
      </c>
      <c r="D21" s="2" t="s">
        <v>447</v>
      </c>
      <c r="E21" s="2" t="s">
        <v>448</v>
      </c>
      <c r="F21" s="2" t="s">
        <v>449</v>
      </c>
      <c r="G21" s="2" t="s">
        <v>450</v>
      </c>
      <c r="H21" s="2" t="s">
        <v>451</v>
      </c>
      <c r="I21" s="2" t="s">
        <v>23</v>
      </c>
      <c r="J21" s="2" t="s">
        <v>277</v>
      </c>
      <c r="K21" s="2" t="s">
        <v>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topLeftCell="A10" workbookViewId="0">
      <selection activeCell="C17" sqref="C17"/>
    </sheetView>
  </sheetViews>
  <sheetFormatPr baseColWidth="10" defaultColWidth="9.06640625" defaultRowHeight="14.25" x14ac:dyDescent="0.45"/>
  <cols>
    <col min="1" max="1" width="12" customWidth="1"/>
    <col min="2" max="2" width="40" customWidth="1"/>
    <col min="3" max="3" width="45" customWidth="1"/>
    <col min="4" max="4" width="55" customWidth="1"/>
    <col min="5" max="5" width="38" customWidth="1"/>
    <col min="6" max="6" width="55" customWidth="1"/>
    <col min="7" max="7" width="32" customWidth="1"/>
    <col min="8" max="8" width="55" customWidth="1"/>
    <col min="9" max="9" width="10" customWidth="1"/>
    <col min="10" max="10" width="18" customWidth="1"/>
    <col min="11" max="11" width="14" customWidth="1"/>
  </cols>
  <sheetData>
    <row r="1" spans="1:11" ht="12" customHeight="1" x14ac:dyDescent="0.45">
      <c r="A1" s="1" t="s">
        <v>212</v>
      </c>
      <c r="B1" s="1" t="s">
        <v>213</v>
      </c>
      <c r="C1" s="1" t="s">
        <v>214</v>
      </c>
      <c r="D1" s="1" t="s">
        <v>349</v>
      </c>
      <c r="E1" s="1" t="s">
        <v>350</v>
      </c>
      <c r="F1" s="1" t="s">
        <v>351</v>
      </c>
      <c r="G1" s="1" t="s">
        <v>352</v>
      </c>
      <c r="H1" s="1" t="s">
        <v>353</v>
      </c>
      <c r="I1" s="1" t="s">
        <v>19</v>
      </c>
      <c r="J1" s="1" t="s">
        <v>215</v>
      </c>
      <c r="K1" s="1" t="s">
        <v>20</v>
      </c>
    </row>
    <row r="2" spans="1:11" ht="45" customHeight="1" x14ac:dyDescent="0.45">
      <c r="A2" s="2" t="s">
        <v>278</v>
      </c>
      <c r="B2" s="2" t="s">
        <v>111</v>
      </c>
      <c r="C2" s="2" t="s">
        <v>279</v>
      </c>
      <c r="D2" s="2" t="s">
        <v>452</v>
      </c>
      <c r="E2" s="2" t="s">
        <v>390</v>
      </c>
      <c r="F2" s="2" t="s">
        <v>453</v>
      </c>
      <c r="G2" s="2" t="s">
        <v>454</v>
      </c>
      <c r="H2" s="2" t="s">
        <v>455</v>
      </c>
      <c r="I2" s="2" t="s">
        <v>21</v>
      </c>
      <c r="J2" s="2" t="s">
        <v>280</v>
      </c>
      <c r="K2" s="2" t="s">
        <v>22</v>
      </c>
    </row>
    <row r="3" spans="1:11" ht="45" customHeight="1" x14ac:dyDescent="0.45">
      <c r="A3" s="2" t="s">
        <v>281</v>
      </c>
      <c r="B3" s="2" t="s">
        <v>111</v>
      </c>
      <c r="C3" s="2" t="s">
        <v>282</v>
      </c>
      <c r="D3" s="2" t="s">
        <v>456</v>
      </c>
      <c r="E3" s="2" t="s">
        <v>457</v>
      </c>
      <c r="F3" s="2" t="s">
        <v>458</v>
      </c>
      <c r="G3" s="2" t="s">
        <v>459</v>
      </c>
      <c r="H3" s="2" t="s">
        <v>460</v>
      </c>
      <c r="I3" s="2" t="s">
        <v>21</v>
      </c>
      <c r="J3" s="2" t="s">
        <v>283</v>
      </c>
      <c r="K3" s="2" t="s">
        <v>22</v>
      </c>
    </row>
    <row r="4" spans="1:11" ht="45" customHeight="1" x14ac:dyDescent="0.45">
      <c r="A4" s="2" t="s">
        <v>284</v>
      </c>
      <c r="B4" s="2" t="s">
        <v>115</v>
      </c>
      <c r="C4" s="2" t="s">
        <v>285</v>
      </c>
      <c r="D4" s="2" t="s">
        <v>461</v>
      </c>
      <c r="E4" s="2" t="s">
        <v>462</v>
      </c>
      <c r="F4" s="2" t="s">
        <v>463</v>
      </c>
      <c r="G4" s="2" t="s">
        <v>464</v>
      </c>
      <c r="H4" s="2" t="s">
        <v>465</v>
      </c>
      <c r="I4" s="2" t="s">
        <v>21</v>
      </c>
      <c r="J4" s="2" t="s">
        <v>268</v>
      </c>
      <c r="K4" s="2" t="s">
        <v>22</v>
      </c>
    </row>
    <row r="5" spans="1:11" ht="45" customHeight="1" x14ac:dyDescent="0.45">
      <c r="A5" s="2" t="s">
        <v>286</v>
      </c>
      <c r="B5" s="2" t="s">
        <v>115</v>
      </c>
      <c r="C5" s="2" t="s">
        <v>287</v>
      </c>
      <c r="D5" s="2" t="s">
        <v>466</v>
      </c>
      <c r="E5" s="2" t="s">
        <v>467</v>
      </c>
      <c r="F5" s="2" t="s">
        <v>468</v>
      </c>
      <c r="G5" s="2" t="s">
        <v>469</v>
      </c>
      <c r="H5" s="2" t="s">
        <v>470</v>
      </c>
      <c r="I5" s="2" t="s">
        <v>21</v>
      </c>
      <c r="J5" s="2" t="s">
        <v>288</v>
      </c>
      <c r="K5" s="2" t="s">
        <v>22</v>
      </c>
    </row>
    <row r="6" spans="1:11" ht="45" customHeight="1" x14ac:dyDescent="0.45">
      <c r="A6" s="2" t="s">
        <v>289</v>
      </c>
      <c r="B6" s="2" t="s">
        <v>119</v>
      </c>
      <c r="C6" s="2" t="s">
        <v>290</v>
      </c>
      <c r="D6" s="2" t="s">
        <v>471</v>
      </c>
      <c r="E6" s="2" t="s">
        <v>472</v>
      </c>
      <c r="F6" s="2" t="s">
        <v>473</v>
      </c>
      <c r="G6" s="2" t="s">
        <v>474</v>
      </c>
      <c r="H6" s="2" t="s">
        <v>475</v>
      </c>
      <c r="I6" s="2" t="s">
        <v>21</v>
      </c>
      <c r="J6" s="2" t="s">
        <v>271</v>
      </c>
      <c r="K6" s="2" t="s">
        <v>22</v>
      </c>
    </row>
    <row r="7" spans="1:11" ht="45" customHeight="1" x14ac:dyDescent="0.45">
      <c r="A7" s="2" t="s">
        <v>291</v>
      </c>
      <c r="B7" s="2" t="s">
        <v>123</v>
      </c>
      <c r="C7" s="2" t="s">
        <v>292</v>
      </c>
      <c r="D7" s="2" t="s">
        <v>476</v>
      </c>
      <c r="E7" s="2" t="s">
        <v>477</v>
      </c>
      <c r="F7" s="2" t="s">
        <v>478</v>
      </c>
      <c r="G7" s="2" t="s">
        <v>479</v>
      </c>
      <c r="H7" s="2" t="s">
        <v>480</v>
      </c>
      <c r="I7" s="2" t="s">
        <v>21</v>
      </c>
      <c r="J7" s="2" t="s">
        <v>293</v>
      </c>
      <c r="K7" s="2" t="s">
        <v>22</v>
      </c>
    </row>
    <row r="8" spans="1:11" ht="45" customHeight="1" x14ac:dyDescent="0.45">
      <c r="A8" s="2" t="s">
        <v>294</v>
      </c>
      <c r="B8" s="2" t="s">
        <v>127</v>
      </c>
      <c r="C8" s="2" t="s">
        <v>295</v>
      </c>
      <c r="D8" s="2" t="s">
        <v>481</v>
      </c>
      <c r="E8" s="2" t="s">
        <v>482</v>
      </c>
      <c r="F8" s="2" t="s">
        <v>483</v>
      </c>
      <c r="G8" s="2" t="s">
        <v>484</v>
      </c>
      <c r="H8" s="2" t="s">
        <v>485</v>
      </c>
      <c r="I8" s="2" t="s">
        <v>25</v>
      </c>
      <c r="J8" s="2" t="s">
        <v>296</v>
      </c>
      <c r="K8" s="2" t="s">
        <v>22</v>
      </c>
    </row>
    <row r="9" spans="1:11" ht="45" customHeight="1" x14ac:dyDescent="0.45">
      <c r="A9" s="2" t="s">
        <v>297</v>
      </c>
      <c r="B9" s="2" t="s">
        <v>132</v>
      </c>
      <c r="C9" s="2" t="s">
        <v>298</v>
      </c>
      <c r="D9" s="2" t="s">
        <v>486</v>
      </c>
      <c r="E9" s="2" t="s">
        <v>487</v>
      </c>
      <c r="F9" s="2" t="s">
        <v>488</v>
      </c>
      <c r="G9" s="2" t="s">
        <v>489</v>
      </c>
      <c r="H9" s="2" t="s">
        <v>490</v>
      </c>
      <c r="I9" s="2" t="s">
        <v>23</v>
      </c>
      <c r="J9" s="2" t="s">
        <v>299</v>
      </c>
      <c r="K9" s="2" t="s">
        <v>22</v>
      </c>
    </row>
    <row r="10" spans="1:11" ht="45" customHeight="1" x14ac:dyDescent="0.45">
      <c r="A10" s="2" t="s">
        <v>300</v>
      </c>
      <c r="B10" s="2" t="s">
        <v>136</v>
      </c>
      <c r="C10" s="2" t="s">
        <v>301</v>
      </c>
      <c r="D10" s="2" t="s">
        <v>491</v>
      </c>
      <c r="E10" s="2" t="s">
        <v>492</v>
      </c>
      <c r="F10" s="2" t="s">
        <v>493</v>
      </c>
      <c r="G10" s="2" t="s">
        <v>494</v>
      </c>
      <c r="H10" s="2" t="s">
        <v>495</v>
      </c>
      <c r="I10" s="2" t="s">
        <v>23</v>
      </c>
      <c r="J10" s="2" t="s">
        <v>302</v>
      </c>
      <c r="K10" s="2" t="s">
        <v>22</v>
      </c>
    </row>
    <row r="11" spans="1:11" ht="45" customHeight="1" x14ac:dyDescent="0.45">
      <c r="A11" s="2" t="s">
        <v>303</v>
      </c>
      <c r="B11" s="2" t="s">
        <v>140</v>
      </c>
      <c r="C11" s="2" t="s">
        <v>304</v>
      </c>
      <c r="D11" s="2" t="s">
        <v>496</v>
      </c>
      <c r="E11" s="2" t="s">
        <v>390</v>
      </c>
      <c r="F11" s="2" t="s">
        <v>497</v>
      </c>
      <c r="G11" s="2" t="s">
        <v>498</v>
      </c>
      <c r="H11" s="2" t="s">
        <v>499</v>
      </c>
      <c r="I11" s="2" t="s">
        <v>23</v>
      </c>
      <c r="J11" s="2" t="s">
        <v>257</v>
      </c>
      <c r="K11" s="2" t="s">
        <v>22</v>
      </c>
    </row>
    <row r="12" spans="1:11" ht="45" customHeight="1" x14ac:dyDescent="0.45">
      <c r="A12" s="2" t="s">
        <v>305</v>
      </c>
      <c r="B12" s="2" t="s">
        <v>144</v>
      </c>
      <c r="C12" s="2" t="s">
        <v>306</v>
      </c>
      <c r="D12" s="2" t="s">
        <v>500</v>
      </c>
      <c r="E12" s="2" t="s">
        <v>501</v>
      </c>
      <c r="F12" s="2" t="s">
        <v>502</v>
      </c>
      <c r="G12" s="2" t="s">
        <v>503</v>
      </c>
      <c r="H12" s="2" t="s">
        <v>504</v>
      </c>
      <c r="I12" s="2" t="s">
        <v>25</v>
      </c>
      <c r="J12" s="2" t="s">
        <v>257</v>
      </c>
      <c r="K12" s="2" t="s">
        <v>22</v>
      </c>
    </row>
    <row r="13" spans="1:11" ht="45" customHeight="1" x14ac:dyDescent="0.45">
      <c r="A13" s="2" t="s">
        <v>307</v>
      </c>
      <c r="B13" s="2" t="s">
        <v>148</v>
      </c>
      <c r="C13" s="2" t="s">
        <v>308</v>
      </c>
      <c r="D13" s="2" t="s">
        <v>505</v>
      </c>
      <c r="E13" s="2" t="s">
        <v>506</v>
      </c>
      <c r="F13" s="2" t="s">
        <v>507</v>
      </c>
      <c r="G13" s="2" t="s">
        <v>508</v>
      </c>
      <c r="H13" s="2" t="s">
        <v>509</v>
      </c>
      <c r="I13" s="2" t="s">
        <v>23</v>
      </c>
      <c r="J13" s="2" t="s">
        <v>309</v>
      </c>
      <c r="K13" s="2" t="s">
        <v>22</v>
      </c>
    </row>
    <row r="14" spans="1:11" ht="45" customHeight="1" x14ac:dyDescent="0.45">
      <c r="A14" s="2" t="s">
        <v>310</v>
      </c>
      <c r="B14" s="2" t="s">
        <v>152</v>
      </c>
      <c r="C14" s="2" t="s">
        <v>311</v>
      </c>
      <c r="D14" s="2" t="s">
        <v>510</v>
      </c>
      <c r="E14" s="2" t="s">
        <v>511</v>
      </c>
      <c r="F14" s="2" t="s">
        <v>512</v>
      </c>
      <c r="G14" s="2" t="s">
        <v>513</v>
      </c>
      <c r="H14" s="2" t="s">
        <v>514</v>
      </c>
      <c r="I14" s="2" t="s">
        <v>25</v>
      </c>
      <c r="J14" s="2" t="s">
        <v>312</v>
      </c>
      <c r="K14" s="2" t="s">
        <v>22</v>
      </c>
    </row>
    <row r="15" spans="1:11" ht="45" customHeight="1" x14ac:dyDescent="0.45">
      <c r="A15" s="2" t="s">
        <v>313</v>
      </c>
      <c r="B15" s="2" t="s">
        <v>157</v>
      </c>
      <c r="C15" s="2" t="s">
        <v>314</v>
      </c>
      <c r="D15" s="2" t="s">
        <v>515</v>
      </c>
      <c r="E15" s="2" t="s">
        <v>390</v>
      </c>
      <c r="F15" s="2" t="s">
        <v>516</v>
      </c>
      <c r="G15" s="2" t="s">
        <v>517</v>
      </c>
      <c r="H15" s="2" t="s">
        <v>518</v>
      </c>
      <c r="I15" s="2" t="s">
        <v>25</v>
      </c>
      <c r="J15" s="2" t="s">
        <v>315</v>
      </c>
      <c r="K15" s="2" t="s">
        <v>22</v>
      </c>
    </row>
    <row r="16" spans="1:11" ht="45" customHeight="1" x14ac:dyDescent="0.45">
      <c r="A16" s="2" t="s">
        <v>316</v>
      </c>
      <c r="B16" s="2" t="s">
        <v>161</v>
      </c>
      <c r="C16" s="2" t="s">
        <v>317</v>
      </c>
      <c r="D16" s="2" t="s">
        <v>519</v>
      </c>
      <c r="E16" s="2" t="s">
        <v>520</v>
      </c>
      <c r="F16" s="2" t="s">
        <v>521</v>
      </c>
      <c r="G16" s="2" t="s">
        <v>522</v>
      </c>
      <c r="H16" s="2" t="s">
        <v>523</v>
      </c>
      <c r="I16" s="2" t="s">
        <v>23</v>
      </c>
      <c r="J16" s="2" t="s">
        <v>318</v>
      </c>
      <c r="K16" s="2" t="s">
        <v>22</v>
      </c>
    </row>
    <row r="17" spans="1:11" ht="45" customHeight="1" x14ac:dyDescent="0.45">
      <c r="A17" s="2" t="s">
        <v>319</v>
      </c>
      <c r="B17" s="2" t="s">
        <v>161</v>
      </c>
      <c r="C17" s="2" t="s">
        <v>320</v>
      </c>
      <c r="D17" s="2" t="s">
        <v>524</v>
      </c>
      <c r="E17" s="2" t="s">
        <v>525</v>
      </c>
      <c r="F17" s="2" t="s">
        <v>526</v>
      </c>
      <c r="G17" s="2" t="s">
        <v>527</v>
      </c>
      <c r="H17" s="2" t="s">
        <v>528</v>
      </c>
      <c r="I17" s="2" t="s">
        <v>23</v>
      </c>
      <c r="J17" s="2" t="s">
        <v>302</v>
      </c>
      <c r="K17" s="2"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
  <sheetViews>
    <sheetView workbookViewId="0"/>
  </sheetViews>
  <sheetFormatPr baseColWidth="10" defaultColWidth="9.06640625" defaultRowHeight="14.25" x14ac:dyDescent="0.45"/>
  <cols>
    <col min="1" max="1" width="12" customWidth="1"/>
    <col min="2" max="2" width="40" customWidth="1"/>
    <col min="3" max="3" width="45" customWidth="1"/>
    <col min="4" max="4" width="55" customWidth="1"/>
    <col min="5" max="5" width="38" customWidth="1"/>
    <col min="6" max="6" width="55" customWidth="1"/>
    <col min="7" max="7" width="32" customWidth="1"/>
    <col min="8" max="8" width="55" customWidth="1"/>
    <col min="9" max="9" width="10" customWidth="1"/>
    <col min="10" max="10" width="18" customWidth="1"/>
    <col min="11" max="11" width="14" customWidth="1"/>
  </cols>
  <sheetData>
    <row r="1" spans="1:11" ht="12" customHeight="1" x14ac:dyDescent="0.45">
      <c r="A1" s="1" t="s">
        <v>212</v>
      </c>
      <c r="B1" s="1" t="s">
        <v>213</v>
      </c>
      <c r="C1" s="1" t="s">
        <v>214</v>
      </c>
      <c r="D1" s="1" t="s">
        <v>349</v>
      </c>
      <c r="E1" s="1" t="s">
        <v>350</v>
      </c>
      <c r="F1" s="1" t="s">
        <v>351</v>
      </c>
      <c r="G1" s="1" t="s">
        <v>352</v>
      </c>
      <c r="H1" s="1" t="s">
        <v>353</v>
      </c>
      <c r="I1" s="1" t="s">
        <v>19</v>
      </c>
      <c r="J1" s="1" t="s">
        <v>215</v>
      </c>
      <c r="K1" s="1" t="s">
        <v>20</v>
      </c>
    </row>
    <row r="2" spans="1:11" ht="45" customHeight="1" x14ac:dyDescent="0.45">
      <c r="A2" s="2" t="s">
        <v>321</v>
      </c>
      <c r="B2" s="2" t="s">
        <v>165</v>
      </c>
      <c r="C2" s="2" t="s">
        <v>322</v>
      </c>
      <c r="D2" s="2" t="s">
        <v>529</v>
      </c>
      <c r="E2" s="2" t="s">
        <v>530</v>
      </c>
      <c r="F2" s="2" t="s">
        <v>531</v>
      </c>
      <c r="G2" s="2" t="s">
        <v>532</v>
      </c>
      <c r="H2" s="2" t="s">
        <v>533</v>
      </c>
      <c r="I2" s="2" t="s">
        <v>25</v>
      </c>
      <c r="J2" s="2" t="s">
        <v>323</v>
      </c>
      <c r="K2" s="2" t="s">
        <v>22</v>
      </c>
    </row>
    <row r="3" spans="1:11" ht="45" customHeight="1" x14ac:dyDescent="0.45">
      <c r="A3" s="2" t="s">
        <v>324</v>
      </c>
      <c r="B3" s="2" t="s">
        <v>169</v>
      </c>
      <c r="C3" s="2" t="s">
        <v>325</v>
      </c>
      <c r="D3" s="2" t="s">
        <v>534</v>
      </c>
      <c r="E3" s="2" t="s">
        <v>535</v>
      </c>
      <c r="F3" s="2" t="s">
        <v>536</v>
      </c>
      <c r="G3" s="2" t="s">
        <v>537</v>
      </c>
      <c r="H3" s="2" t="s">
        <v>538</v>
      </c>
      <c r="I3" s="2" t="s">
        <v>23</v>
      </c>
      <c r="J3" s="2" t="s">
        <v>302</v>
      </c>
      <c r="K3" s="2" t="s">
        <v>22</v>
      </c>
    </row>
    <row r="4" spans="1:11" ht="45" customHeight="1" x14ac:dyDescent="0.45">
      <c r="A4" s="2" t="s">
        <v>326</v>
      </c>
      <c r="B4" s="2" t="s">
        <v>173</v>
      </c>
      <c r="C4" s="2" t="s">
        <v>327</v>
      </c>
      <c r="D4" s="2" t="s">
        <v>539</v>
      </c>
      <c r="E4" s="2" t="s">
        <v>540</v>
      </c>
      <c r="F4" s="2" t="s">
        <v>541</v>
      </c>
      <c r="G4" s="2" t="s">
        <v>542</v>
      </c>
      <c r="H4" s="2" t="s">
        <v>543</v>
      </c>
      <c r="I4" s="2" t="s">
        <v>25</v>
      </c>
      <c r="J4" s="2" t="s">
        <v>328</v>
      </c>
      <c r="K4" s="2" t="s">
        <v>22</v>
      </c>
    </row>
    <row r="5" spans="1:11" ht="45" customHeight="1" x14ac:dyDescent="0.45">
      <c r="A5" s="2" t="s">
        <v>329</v>
      </c>
      <c r="B5" s="2" t="s">
        <v>177</v>
      </c>
      <c r="C5" s="2" t="s">
        <v>330</v>
      </c>
      <c r="D5" s="2" t="s">
        <v>544</v>
      </c>
      <c r="E5" s="2" t="s">
        <v>545</v>
      </c>
      <c r="F5" s="2" t="s">
        <v>546</v>
      </c>
      <c r="G5" s="2" t="s">
        <v>547</v>
      </c>
      <c r="H5" s="2" t="s">
        <v>548</v>
      </c>
      <c r="I5" s="2" t="s">
        <v>23</v>
      </c>
      <c r="J5" s="2" t="s">
        <v>302</v>
      </c>
      <c r="K5" s="2" t="s">
        <v>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
  <sheetViews>
    <sheetView workbookViewId="0"/>
  </sheetViews>
  <sheetFormatPr baseColWidth="10" defaultColWidth="9.06640625" defaultRowHeight="14.25" x14ac:dyDescent="0.45"/>
  <cols>
    <col min="1" max="1" width="12" customWidth="1"/>
    <col min="2" max="2" width="40" customWidth="1"/>
    <col min="3" max="3" width="45" customWidth="1"/>
    <col min="4" max="4" width="55" customWidth="1"/>
    <col min="5" max="5" width="38" customWidth="1"/>
    <col min="6" max="6" width="55" customWidth="1"/>
    <col min="7" max="7" width="32" customWidth="1"/>
    <col min="8" max="8" width="55" customWidth="1"/>
    <col min="9" max="9" width="10" customWidth="1"/>
    <col min="10" max="10" width="18" customWidth="1"/>
    <col min="11" max="11" width="14" customWidth="1"/>
  </cols>
  <sheetData>
    <row r="1" spans="1:11" ht="12" customHeight="1" x14ac:dyDescent="0.45">
      <c r="A1" s="1" t="s">
        <v>212</v>
      </c>
      <c r="B1" s="1" t="s">
        <v>213</v>
      </c>
      <c r="C1" s="1" t="s">
        <v>214</v>
      </c>
      <c r="D1" s="1" t="s">
        <v>349</v>
      </c>
      <c r="E1" s="1" t="s">
        <v>350</v>
      </c>
      <c r="F1" s="1" t="s">
        <v>351</v>
      </c>
      <c r="G1" s="1" t="s">
        <v>352</v>
      </c>
      <c r="H1" s="1" t="s">
        <v>353</v>
      </c>
      <c r="I1" s="1" t="s">
        <v>19</v>
      </c>
      <c r="J1" s="1" t="s">
        <v>215</v>
      </c>
      <c r="K1" s="1" t="s">
        <v>20</v>
      </c>
    </row>
    <row r="2" spans="1:11" ht="45" customHeight="1" x14ac:dyDescent="0.45">
      <c r="A2" s="2" t="s">
        <v>331</v>
      </c>
      <c r="B2" s="2" t="s">
        <v>181</v>
      </c>
      <c r="C2" s="2" t="s">
        <v>332</v>
      </c>
      <c r="D2" s="2" t="s">
        <v>549</v>
      </c>
      <c r="E2" s="2" t="s">
        <v>550</v>
      </c>
      <c r="F2" s="2" t="s">
        <v>551</v>
      </c>
      <c r="G2" s="2" t="s">
        <v>552</v>
      </c>
      <c r="H2" s="2" t="s">
        <v>553</v>
      </c>
      <c r="I2" s="2" t="s">
        <v>23</v>
      </c>
      <c r="J2" s="2" t="s">
        <v>333</v>
      </c>
      <c r="K2" s="2" t="s">
        <v>22</v>
      </c>
    </row>
    <row r="3" spans="1:11" ht="45" customHeight="1" x14ac:dyDescent="0.45">
      <c r="A3" s="2" t="s">
        <v>334</v>
      </c>
      <c r="B3" s="2" t="s">
        <v>185</v>
      </c>
      <c r="C3" s="2" t="s">
        <v>335</v>
      </c>
      <c r="D3" s="2" t="s">
        <v>554</v>
      </c>
      <c r="E3" s="2" t="s">
        <v>555</v>
      </c>
      <c r="F3" s="2" t="s">
        <v>556</v>
      </c>
      <c r="G3" s="2" t="s">
        <v>557</v>
      </c>
      <c r="H3" s="2" t="s">
        <v>558</v>
      </c>
      <c r="I3" s="2" t="s">
        <v>25</v>
      </c>
      <c r="J3" s="2" t="s">
        <v>257</v>
      </c>
      <c r="K3" s="2" t="s">
        <v>22</v>
      </c>
    </row>
    <row r="4" spans="1:11" ht="45" customHeight="1" x14ac:dyDescent="0.45">
      <c r="A4" s="2" t="s">
        <v>336</v>
      </c>
      <c r="B4" s="2" t="s">
        <v>189</v>
      </c>
      <c r="C4" s="2" t="s">
        <v>337</v>
      </c>
      <c r="D4" s="2" t="s">
        <v>559</v>
      </c>
      <c r="E4" s="2" t="s">
        <v>560</v>
      </c>
      <c r="F4" s="2" t="s">
        <v>561</v>
      </c>
      <c r="G4" s="2" t="s">
        <v>562</v>
      </c>
      <c r="H4" s="2" t="s">
        <v>563</v>
      </c>
      <c r="I4" s="2" t="s">
        <v>23</v>
      </c>
      <c r="J4" s="2" t="s">
        <v>333</v>
      </c>
      <c r="K4" s="2" t="s">
        <v>22</v>
      </c>
    </row>
    <row r="5" spans="1:11" ht="45" customHeight="1" x14ac:dyDescent="0.45">
      <c r="A5" s="2" t="s">
        <v>338</v>
      </c>
      <c r="B5" s="2" t="s">
        <v>193</v>
      </c>
      <c r="C5" s="2" t="s">
        <v>339</v>
      </c>
      <c r="D5" s="2" t="s">
        <v>564</v>
      </c>
      <c r="E5" s="2" t="s">
        <v>565</v>
      </c>
      <c r="F5" s="2" t="s">
        <v>566</v>
      </c>
      <c r="G5" s="2" t="s">
        <v>567</v>
      </c>
      <c r="H5" s="2" t="s">
        <v>568</v>
      </c>
      <c r="I5" s="2" t="s">
        <v>25</v>
      </c>
      <c r="J5" s="2" t="s">
        <v>257</v>
      </c>
      <c r="K5" s="2" t="s">
        <v>22</v>
      </c>
    </row>
    <row r="6" spans="1:11" ht="45" customHeight="1" x14ac:dyDescent="0.45">
      <c r="A6" s="2" t="s">
        <v>340</v>
      </c>
      <c r="B6" s="2" t="s">
        <v>196</v>
      </c>
      <c r="C6" s="2" t="s">
        <v>341</v>
      </c>
      <c r="D6" s="2" t="s">
        <v>569</v>
      </c>
      <c r="E6" s="2" t="s">
        <v>482</v>
      </c>
      <c r="F6" s="2" t="s">
        <v>570</v>
      </c>
      <c r="G6" s="2" t="s">
        <v>571</v>
      </c>
      <c r="H6" s="2" t="s">
        <v>572</v>
      </c>
      <c r="I6" s="2" t="s">
        <v>25</v>
      </c>
      <c r="J6" s="2" t="s">
        <v>296</v>
      </c>
      <c r="K6" s="2" t="s">
        <v>22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
  <sheetViews>
    <sheetView topLeftCell="A7" workbookViewId="0">
      <selection activeCell="E4" sqref="E4"/>
    </sheetView>
  </sheetViews>
  <sheetFormatPr baseColWidth="10" defaultColWidth="9.06640625" defaultRowHeight="14.25" x14ac:dyDescent="0.45"/>
  <cols>
    <col min="1" max="1" width="12" customWidth="1"/>
    <col min="2" max="2" width="40" customWidth="1"/>
    <col min="3" max="3" width="45" customWidth="1"/>
    <col min="4" max="4" width="55" customWidth="1"/>
    <col min="5" max="5" width="38" customWidth="1"/>
    <col min="6" max="6" width="55" customWidth="1"/>
    <col min="7" max="7" width="32" customWidth="1"/>
    <col min="8" max="8" width="55" customWidth="1"/>
    <col min="9" max="9" width="10" customWidth="1"/>
    <col min="10" max="10" width="18" customWidth="1"/>
    <col min="11" max="11" width="14" customWidth="1"/>
  </cols>
  <sheetData>
    <row r="1" spans="1:11" ht="12" customHeight="1" x14ac:dyDescent="0.45">
      <c r="A1" s="1" t="s">
        <v>212</v>
      </c>
      <c r="B1" s="1" t="s">
        <v>213</v>
      </c>
      <c r="C1" s="1" t="s">
        <v>214</v>
      </c>
      <c r="D1" s="1" t="s">
        <v>349</v>
      </c>
      <c r="E1" s="1" t="s">
        <v>350</v>
      </c>
      <c r="F1" s="1" t="s">
        <v>351</v>
      </c>
      <c r="G1" s="1" t="s">
        <v>352</v>
      </c>
      <c r="H1" s="1" t="s">
        <v>353</v>
      </c>
      <c r="I1" s="1" t="s">
        <v>19</v>
      </c>
      <c r="J1" s="1" t="s">
        <v>215</v>
      </c>
      <c r="K1" s="1" t="s">
        <v>20</v>
      </c>
    </row>
    <row r="2" spans="1:11" ht="45" customHeight="1" x14ac:dyDescent="0.45">
      <c r="A2" s="2" t="s">
        <v>342</v>
      </c>
      <c r="B2" s="2" t="s">
        <v>200</v>
      </c>
      <c r="C2" s="2" t="s">
        <v>343</v>
      </c>
      <c r="D2" s="2" t="s">
        <v>573</v>
      </c>
      <c r="E2" s="2" t="s">
        <v>574</v>
      </c>
      <c r="F2" s="2" t="s">
        <v>575</v>
      </c>
      <c r="G2" s="2" t="s">
        <v>576</v>
      </c>
      <c r="H2" s="2" t="s">
        <v>577</v>
      </c>
      <c r="I2" s="2" t="s">
        <v>25</v>
      </c>
      <c r="J2" s="2" t="s">
        <v>257</v>
      </c>
      <c r="K2" s="2" t="s">
        <v>22</v>
      </c>
    </row>
    <row r="3" spans="1:11" ht="45" customHeight="1" x14ac:dyDescent="0.45">
      <c r="A3" s="2" t="s">
        <v>344</v>
      </c>
      <c r="B3" s="2" t="s">
        <v>204</v>
      </c>
      <c r="C3" s="2" t="s">
        <v>345</v>
      </c>
      <c r="D3" s="2" t="s">
        <v>578</v>
      </c>
      <c r="E3" s="2" t="s">
        <v>579</v>
      </c>
      <c r="F3" s="2" t="s">
        <v>580</v>
      </c>
      <c r="G3" s="2" t="s">
        <v>581</v>
      </c>
      <c r="H3" s="2" t="s">
        <v>582</v>
      </c>
      <c r="I3" s="2" t="s">
        <v>23</v>
      </c>
      <c r="J3" s="2" t="s">
        <v>257</v>
      </c>
      <c r="K3" s="2" t="s">
        <v>22</v>
      </c>
    </row>
    <row r="4" spans="1:11" ht="45" customHeight="1" x14ac:dyDescent="0.45">
      <c r="A4" s="2" t="s">
        <v>346</v>
      </c>
      <c r="B4" s="2" t="s">
        <v>208</v>
      </c>
      <c r="C4" s="2" t="s">
        <v>347</v>
      </c>
      <c r="D4" s="2" t="s">
        <v>583</v>
      </c>
      <c r="E4" s="2" t="s">
        <v>584</v>
      </c>
      <c r="F4" s="2" t="s">
        <v>585</v>
      </c>
      <c r="G4" s="2" t="s">
        <v>586</v>
      </c>
      <c r="H4" s="2" t="s">
        <v>587</v>
      </c>
      <c r="I4" s="2" t="s">
        <v>23</v>
      </c>
      <c r="J4" s="2" t="s">
        <v>348</v>
      </c>
      <c r="K4" s="2" t="s">
        <v>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
  <sheetViews>
    <sheetView showGridLines="0" workbookViewId="0">
      <selection activeCell="C11" sqref="C11"/>
    </sheetView>
  </sheetViews>
  <sheetFormatPr baseColWidth="10" defaultColWidth="9.06640625" defaultRowHeight="14.25" x14ac:dyDescent="0.45"/>
  <cols>
    <col min="1" max="1" width="16" customWidth="1"/>
    <col min="2" max="2" width="10" customWidth="1"/>
    <col min="3" max="4" width="14" customWidth="1"/>
    <col min="5" max="5" width="10" customWidth="1"/>
    <col min="6" max="7" width="14" customWidth="1"/>
    <col min="8" max="8" width="40" customWidth="1"/>
    <col min="9" max="10" width="14" customWidth="1"/>
  </cols>
  <sheetData>
    <row r="1" spans="1:8" ht="28.05" customHeight="1" x14ac:dyDescent="0.45">
      <c r="A1" s="8" t="s">
        <v>588</v>
      </c>
      <c r="B1" s="7"/>
      <c r="C1" s="7"/>
      <c r="D1" s="7"/>
      <c r="E1" s="7"/>
      <c r="F1" s="7"/>
      <c r="G1" s="7"/>
      <c r="H1" s="7"/>
    </row>
    <row r="2" spans="1:8" ht="18" customHeight="1" x14ac:dyDescent="0.45">
      <c r="A2" s="9" t="s">
        <v>589</v>
      </c>
      <c r="B2" s="7"/>
      <c r="C2" s="7"/>
      <c r="D2" s="7"/>
      <c r="E2" s="7"/>
      <c r="F2" s="7"/>
      <c r="G2" s="7"/>
      <c r="H2" s="7"/>
    </row>
    <row r="3" spans="1:8" x14ac:dyDescent="0.45">
      <c r="A3" s="1" t="s">
        <v>19</v>
      </c>
      <c r="B3" s="1" t="s">
        <v>6</v>
      </c>
      <c r="D3" s="1" t="s">
        <v>5</v>
      </c>
      <c r="E3" s="1" t="s">
        <v>6</v>
      </c>
    </row>
    <row r="4" spans="1:8" x14ac:dyDescent="0.45">
      <c r="A4" s="2" t="s">
        <v>21</v>
      </c>
      <c r="B4" s="2">
        <f>COUNTIF('Plan de test par Sprint'!$E$2:$E$1000,"Critique")</f>
        <v>16</v>
      </c>
      <c r="D4" s="2" t="s">
        <v>8</v>
      </c>
      <c r="E4" s="2">
        <f>COUNTIF('Plan de test par Sprint'!$A$2:$A$1000,"Sprint 1")</f>
        <v>20</v>
      </c>
      <c r="H4" s="3"/>
    </row>
    <row r="5" spans="1:8" x14ac:dyDescent="0.45">
      <c r="A5" s="2" t="s">
        <v>23</v>
      </c>
      <c r="B5" s="2">
        <f>COUNTIF('Plan de test par Sprint'!$E$2:$E$1000,"Élevée")</f>
        <v>22</v>
      </c>
      <c r="D5" s="2" t="s">
        <v>10</v>
      </c>
      <c r="E5" s="2">
        <f>COUNTIF('Plan de test par Sprint'!$A$2:$A$1000,"Sprint 2")</f>
        <v>16</v>
      </c>
    </row>
    <row r="6" spans="1:8" x14ac:dyDescent="0.45">
      <c r="A6" s="2" t="s">
        <v>25</v>
      </c>
      <c r="B6" s="2">
        <f>COUNTIF('Plan de test par Sprint'!$E$2:$E$1000,"Moyenne")</f>
        <v>10</v>
      </c>
      <c r="D6" s="2" t="s">
        <v>12</v>
      </c>
      <c r="E6" s="2">
        <f>COUNTIF('Plan de test par Sprint'!$A$2:$A$1000,"Sprint 3")</f>
        <v>4</v>
      </c>
    </row>
    <row r="7" spans="1:8" x14ac:dyDescent="0.45">
      <c r="A7" s="2" t="s">
        <v>27</v>
      </c>
      <c r="B7" s="2">
        <f>COUNTIF('Plan de test par Sprint'!$E$2:$E$1000,"Faible")</f>
        <v>0</v>
      </c>
      <c r="D7" s="2" t="s">
        <v>14</v>
      </c>
      <c r="E7" s="2">
        <f>COUNTIF('Plan de test par Sprint'!$A$2:$A$1000,"Sprint 4")</f>
        <v>5</v>
      </c>
    </row>
    <row r="8" spans="1:8" x14ac:dyDescent="0.45">
      <c r="A8" s="2" t="s">
        <v>29</v>
      </c>
      <c r="B8" s="2">
        <f>COUNTIF('Plan de test par Sprint'!$E$2:$E$1000,"Informative")</f>
        <v>0</v>
      </c>
      <c r="D8" s="2" t="s">
        <v>16</v>
      </c>
      <c r="E8" s="2">
        <f>COUNTIF('Plan de test par Sprint'!$A$2:$A$1000,"Sprint 5")</f>
        <v>3</v>
      </c>
    </row>
    <row r="10" spans="1:8" ht="22.05" customHeight="1" x14ac:dyDescent="0.45">
      <c r="A10" s="1" t="s">
        <v>590</v>
      </c>
      <c r="B10" s="1" t="s">
        <v>22</v>
      </c>
      <c r="C10" s="1" t="s">
        <v>24</v>
      </c>
      <c r="D10" s="1" t="s">
        <v>26</v>
      </c>
      <c r="E10" s="1" t="s">
        <v>28</v>
      </c>
      <c r="F10" s="1" t="s">
        <v>30</v>
      </c>
      <c r="G10" s="1" t="s">
        <v>31</v>
      </c>
    </row>
    <row r="11" spans="1:8" x14ac:dyDescent="0.45">
      <c r="A11" s="2" t="s">
        <v>591</v>
      </c>
      <c r="B11" s="2">
        <f>COUNTIF('Plan de test par Sprint'!$G$2:$G$1000,"Non exécuté")</f>
        <v>48</v>
      </c>
      <c r="C11" s="2">
        <f>COUNTIF('Plan de test par Sprint'!$G$2:$G$1000,"En cours")</f>
        <v>0</v>
      </c>
      <c r="D11" s="2">
        <f>COUNTIF('Plan de test par Sprint'!$G$2:$G$1000,"Passé")</f>
        <v>0</v>
      </c>
      <c r="E11" s="2">
        <f>COUNTIF('Plan de test par Sprint'!$G$2:$G$1000,"Échoué")</f>
        <v>0</v>
      </c>
      <c r="F11" s="2">
        <f>COUNTIF('Plan de test par Sprint'!$G$2:$G$1000,"Bloqué")</f>
        <v>0</v>
      </c>
      <c r="G11" s="2">
        <f>COUNTIF('Plan de test par Sprint'!$G$2:$G$1000,"NA")</f>
        <v>0</v>
      </c>
    </row>
  </sheetData>
  <mergeCells count="2">
    <mergeCell ref="A2:H2"/>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Dashboard</vt:lpstr>
      <vt:lpstr>Revue exigences QA</vt:lpstr>
      <vt:lpstr>Plan de test par Sprint</vt:lpstr>
      <vt:lpstr>Sprint 1</vt:lpstr>
      <vt:lpstr>Sprint 2</vt:lpstr>
      <vt:lpstr>Sprint 3</vt:lpstr>
      <vt:lpstr>Sprint 4</vt:lpstr>
      <vt:lpstr>Sprint 5</vt:lpstr>
      <vt:lpstr>Visualisations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Aomar BOUKERSI</dc:creator>
  <cp:lastModifiedBy>Aomar BOUKERSI</cp:lastModifiedBy>
  <dcterms:created xsi:type="dcterms:W3CDTF">2026-02-13T04:58:27Z</dcterms:created>
  <dcterms:modified xsi:type="dcterms:W3CDTF">2026-02-14T17:15:15Z</dcterms:modified>
</cp:coreProperties>
</file>